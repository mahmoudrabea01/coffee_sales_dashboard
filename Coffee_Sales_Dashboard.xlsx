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531b43acb45e8b69/Desktop/Data Camp/project/coffee_shop_excel_project/"/>
    </mc:Choice>
  </mc:AlternateContent>
  <xr:revisionPtr revIDLastSave="32" documentId="8_{C26E5431-D9B6-4ED8-B741-130A3259986C}" xr6:coauthVersionLast="47" xr6:coauthVersionMax="47" xr10:uidLastSave="{617BB6AF-188D-4C36-B3EA-A1D36964115C}"/>
  <bookViews>
    <workbookView showHorizontalScroll="0" showVerticalScroll="0" showSheetTabs="0" xWindow="-110" yWindow="-110" windowWidth="19420" windowHeight="10300" xr2:uid="{00000000-000D-0000-FFFF-FFFF00000000}"/>
  </bookViews>
  <sheets>
    <sheet name="Dashboard" sheetId="21" r:id="rId1"/>
    <sheet name="total_sales" sheetId="18" r:id="rId2"/>
    <sheet name="countrybarchart" sheetId="19" r:id="rId3"/>
    <sheet name="customerbarchart"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11" i="17"/>
  <c r="M23" i="17"/>
  <c r="M125" i="17"/>
  <c r="I3" i="17"/>
  <c r="N3" i="17" s="1" a="1"/>
  <c r="N3" i="17" s="1"/>
  <c r="J3" i="17"/>
  <c r="O3" i="17" s="1"/>
  <c r="K3" i="17"/>
  <c r="L3" i="17"/>
  <c r="M3" i="17" s="1"/>
  <c r="I4" i="17"/>
  <c r="N4" i="17" s="1" a="1"/>
  <c r="N4" i="17" s="1"/>
  <c r="J4" i="17"/>
  <c r="O4" i="17" s="1"/>
  <c r="K4" i="17"/>
  <c r="L4" i="17"/>
  <c r="M4" i="17" s="1"/>
  <c r="I5" i="17"/>
  <c r="N5" i="17" s="1" a="1"/>
  <c r="N5" i="17" s="1"/>
  <c r="J5" i="17"/>
  <c r="O5" i="17" s="1"/>
  <c r="K5" i="17"/>
  <c r="L5" i="17"/>
  <c r="M5" i="17" s="1"/>
  <c r="I6" i="17"/>
  <c r="N6" i="17" s="1" a="1"/>
  <c r="N6" i="17" s="1"/>
  <c r="J6" i="17"/>
  <c r="O6" i="17" s="1"/>
  <c r="K6" i="17"/>
  <c r="L6" i="17"/>
  <c r="M6" i="17" s="1"/>
  <c r="I7" i="17"/>
  <c r="N7" i="17" s="1" a="1"/>
  <c r="N7" i="17" s="1"/>
  <c r="J7" i="17"/>
  <c r="O7" i="17" s="1"/>
  <c r="K7" i="17"/>
  <c r="L7" i="17"/>
  <c r="M7" i="17" s="1"/>
  <c r="I8" i="17"/>
  <c r="N8" i="17" s="1" a="1"/>
  <c r="N8" i="17" s="1"/>
  <c r="J8" i="17"/>
  <c r="O8" i="17" s="1"/>
  <c r="K8" i="17"/>
  <c r="L8" i="17"/>
  <c r="M8" i="17" s="1"/>
  <c r="I9" i="17"/>
  <c r="N9" i="17" s="1" a="1"/>
  <c r="N9" i="17" s="1"/>
  <c r="J9" i="17"/>
  <c r="O9" i="17" s="1"/>
  <c r="K9" i="17"/>
  <c r="L9" i="17"/>
  <c r="M9" i="17" s="1"/>
  <c r="I10" i="17"/>
  <c r="N10" i="17" s="1" a="1"/>
  <c r="N10" i="17" s="1"/>
  <c r="J10" i="17"/>
  <c r="O10" i="17" s="1"/>
  <c r="K10" i="17"/>
  <c r="L10" i="17"/>
  <c r="M10" i="17" s="1"/>
  <c r="I11" i="17"/>
  <c r="N11" i="17" s="1" a="1"/>
  <c r="N11" i="17" s="1"/>
  <c r="J11" i="17"/>
  <c r="O11" i="17" s="1"/>
  <c r="K11" i="17"/>
  <c r="L11" i="17"/>
  <c r="I12" i="17"/>
  <c r="N12" i="17" s="1" a="1"/>
  <c r="N12" i="17" s="1"/>
  <c r="J12" i="17"/>
  <c r="O12" i="17" s="1"/>
  <c r="K12" i="17"/>
  <c r="L12" i="17"/>
  <c r="M12" i="17" s="1"/>
  <c r="I13" i="17"/>
  <c r="N13" i="17" s="1" a="1"/>
  <c r="N13" i="17" s="1"/>
  <c r="J13" i="17"/>
  <c r="O13" i="17" s="1"/>
  <c r="K13" i="17"/>
  <c r="L13" i="17"/>
  <c r="M13" i="17" s="1"/>
  <c r="I14" i="17"/>
  <c r="N14" i="17" s="1" a="1"/>
  <c r="N14" i="17" s="1"/>
  <c r="J14" i="17"/>
  <c r="O14" i="17" s="1"/>
  <c r="K14" i="17"/>
  <c r="L14" i="17"/>
  <c r="M14" i="17" s="1"/>
  <c r="I15" i="17"/>
  <c r="N15" i="17" s="1" a="1"/>
  <c r="N15" i="17" s="1"/>
  <c r="J15" i="17"/>
  <c r="O15" i="17" s="1"/>
  <c r="K15" i="17"/>
  <c r="L15" i="17"/>
  <c r="M15" i="17" s="1"/>
  <c r="I16" i="17"/>
  <c r="N16" i="17" s="1" a="1"/>
  <c r="N16" i="17" s="1"/>
  <c r="J16" i="17"/>
  <c r="O16" i="17" s="1"/>
  <c r="K16" i="17"/>
  <c r="L16" i="17"/>
  <c r="M16" i="17" s="1"/>
  <c r="I17" i="17"/>
  <c r="N17" i="17" s="1" a="1"/>
  <c r="N17" i="17" s="1"/>
  <c r="J17" i="17"/>
  <c r="O17" i="17" s="1"/>
  <c r="K17" i="17"/>
  <c r="L17" i="17"/>
  <c r="M17" i="17" s="1"/>
  <c r="I18" i="17"/>
  <c r="N18" i="17" s="1" a="1"/>
  <c r="N18" i="17" s="1"/>
  <c r="J18" i="17"/>
  <c r="O18" i="17" s="1"/>
  <c r="K18" i="17"/>
  <c r="L18" i="17"/>
  <c r="M18" i="17" s="1"/>
  <c r="I19" i="17"/>
  <c r="N19" i="17" s="1" a="1"/>
  <c r="N19" i="17" s="1"/>
  <c r="J19" i="17"/>
  <c r="O19" i="17" s="1"/>
  <c r="K19" i="17"/>
  <c r="L19" i="17"/>
  <c r="M19" i="17" s="1"/>
  <c r="I20" i="17"/>
  <c r="N20" i="17" s="1" a="1"/>
  <c r="N20" i="17" s="1"/>
  <c r="J20" i="17"/>
  <c r="O20" i="17" s="1"/>
  <c r="K20" i="17"/>
  <c r="L20" i="17"/>
  <c r="M20" i="17" s="1"/>
  <c r="I21" i="17"/>
  <c r="N21" i="17" s="1" a="1"/>
  <c r="N21" i="17" s="1"/>
  <c r="J21" i="17"/>
  <c r="O21" i="17" s="1"/>
  <c r="K21" i="17"/>
  <c r="L21" i="17"/>
  <c r="M21" i="17" s="1"/>
  <c r="I22" i="17"/>
  <c r="N22" i="17" s="1" a="1"/>
  <c r="N22" i="17" s="1"/>
  <c r="J22" i="17"/>
  <c r="O22" i="17" s="1"/>
  <c r="K22" i="17"/>
  <c r="L22" i="17"/>
  <c r="M22" i="17" s="1"/>
  <c r="I23" i="17"/>
  <c r="N23" i="17" s="1" a="1"/>
  <c r="N23" i="17" s="1"/>
  <c r="J23" i="17"/>
  <c r="O23" i="17" s="1"/>
  <c r="K23" i="17"/>
  <c r="L23" i="17"/>
  <c r="I24" i="17"/>
  <c r="N24" i="17" s="1" a="1"/>
  <c r="N24" i="17" s="1"/>
  <c r="J24" i="17"/>
  <c r="O24" i="17" s="1"/>
  <c r="K24" i="17"/>
  <c r="L24" i="17"/>
  <c r="M24" i="17" s="1"/>
  <c r="I25" i="17"/>
  <c r="N25" i="17" s="1" a="1"/>
  <c r="N25" i="17" s="1"/>
  <c r="J25" i="17"/>
  <c r="O25" i="17" s="1"/>
  <c r="K25" i="17"/>
  <c r="L25" i="17"/>
  <c r="M25" i="17" s="1"/>
  <c r="I26" i="17"/>
  <c r="N26" i="17" s="1" a="1"/>
  <c r="N26" i="17" s="1"/>
  <c r="J26" i="17"/>
  <c r="O26" i="17" s="1"/>
  <c r="K26" i="17"/>
  <c r="L26" i="17"/>
  <c r="M26" i="17" s="1"/>
  <c r="I27" i="17"/>
  <c r="N27" i="17" s="1" a="1"/>
  <c r="N27" i="17" s="1"/>
  <c r="J27" i="17"/>
  <c r="O27" i="17" s="1"/>
  <c r="K27" i="17"/>
  <c r="L27" i="17"/>
  <c r="M27" i="17" s="1"/>
  <c r="I28" i="17"/>
  <c r="N28" i="17" s="1" a="1"/>
  <c r="N28" i="17" s="1"/>
  <c r="J28" i="17"/>
  <c r="O28" i="17" s="1"/>
  <c r="K28" i="17"/>
  <c r="L28" i="17"/>
  <c r="M28" i="17" s="1"/>
  <c r="I29" i="17"/>
  <c r="N29" i="17" s="1" a="1"/>
  <c r="N29" i="17" s="1"/>
  <c r="J29" i="17"/>
  <c r="O29" i="17" s="1"/>
  <c r="K29" i="17"/>
  <c r="L29" i="17"/>
  <c r="M29" i="17" s="1"/>
  <c r="I30" i="17"/>
  <c r="N30" i="17" s="1" a="1"/>
  <c r="N30" i="17" s="1"/>
  <c r="J30" i="17"/>
  <c r="O30" i="17" s="1"/>
  <c r="K30" i="17"/>
  <c r="L30" i="17"/>
  <c r="M30" i="17" s="1"/>
  <c r="I31" i="17"/>
  <c r="N31" i="17" s="1" a="1"/>
  <c r="N31" i="17" s="1"/>
  <c r="J31" i="17"/>
  <c r="O31" i="17" s="1"/>
  <c r="K31" i="17"/>
  <c r="L31" i="17"/>
  <c r="M31" i="17" s="1"/>
  <c r="I32" i="17"/>
  <c r="N32" i="17" s="1" a="1"/>
  <c r="N32" i="17" s="1"/>
  <c r="J32" i="17"/>
  <c r="O32" i="17" s="1"/>
  <c r="K32" i="17"/>
  <c r="L32" i="17"/>
  <c r="M32" i="17" s="1"/>
  <c r="I33" i="17"/>
  <c r="N33" i="17" s="1" a="1"/>
  <c r="N33" i="17" s="1"/>
  <c r="J33" i="17"/>
  <c r="O33" i="17" s="1"/>
  <c r="K33" i="17"/>
  <c r="L33" i="17"/>
  <c r="M33" i="17" s="1"/>
  <c r="I34" i="17"/>
  <c r="N34" i="17" s="1" a="1"/>
  <c r="N34" i="17" s="1"/>
  <c r="J34" i="17"/>
  <c r="O34" i="17" s="1"/>
  <c r="K34" i="17"/>
  <c r="L34" i="17"/>
  <c r="M34" i="17" s="1"/>
  <c r="I35" i="17"/>
  <c r="N35" i="17" s="1" a="1"/>
  <c r="N35" i="17" s="1"/>
  <c r="J35" i="17"/>
  <c r="O35" i="17" s="1"/>
  <c r="K35" i="17"/>
  <c r="L35" i="17"/>
  <c r="M35" i="17" s="1"/>
  <c r="I36" i="17"/>
  <c r="N36" i="17" s="1" a="1"/>
  <c r="N36" i="17" s="1"/>
  <c r="J36" i="17"/>
  <c r="O36" i="17" s="1"/>
  <c r="K36" i="17"/>
  <c r="L36" i="17"/>
  <c r="M36" i="17" s="1"/>
  <c r="I37" i="17"/>
  <c r="N37" i="17" s="1" a="1"/>
  <c r="N37" i="17" s="1"/>
  <c r="J37" i="17"/>
  <c r="O37" i="17" s="1"/>
  <c r="K37" i="17"/>
  <c r="L37" i="17"/>
  <c r="M37" i="17" s="1"/>
  <c r="I38" i="17"/>
  <c r="N38" i="17" s="1" a="1"/>
  <c r="N38" i="17" s="1"/>
  <c r="J38" i="17"/>
  <c r="O38" i="17" s="1"/>
  <c r="K38" i="17"/>
  <c r="L38" i="17"/>
  <c r="M38" i="17" s="1"/>
  <c r="I39" i="17"/>
  <c r="N39" i="17" s="1" a="1"/>
  <c r="N39" i="17" s="1"/>
  <c r="J39" i="17"/>
  <c r="O39" i="17" s="1"/>
  <c r="K39" i="17"/>
  <c r="L39" i="17"/>
  <c r="M39" i="17" s="1"/>
  <c r="I40" i="17"/>
  <c r="N40" i="17" s="1" a="1"/>
  <c r="N40" i="17" s="1"/>
  <c r="J40" i="17"/>
  <c r="O40" i="17" s="1"/>
  <c r="K40" i="17"/>
  <c r="L40" i="17"/>
  <c r="M40" i="17" s="1"/>
  <c r="I41" i="17"/>
  <c r="N41" i="17" s="1" a="1"/>
  <c r="N41" i="17" s="1"/>
  <c r="J41" i="17"/>
  <c r="O41" i="17" s="1"/>
  <c r="K41" i="17"/>
  <c r="L41" i="17"/>
  <c r="M41" i="17" s="1"/>
  <c r="I42" i="17"/>
  <c r="N42" i="17" s="1" a="1"/>
  <c r="N42" i="17" s="1"/>
  <c r="J42" i="17"/>
  <c r="O42" i="17" s="1"/>
  <c r="K42" i="17"/>
  <c r="L42" i="17"/>
  <c r="M42" i="17" s="1"/>
  <c r="I43" i="17"/>
  <c r="N43" i="17" s="1" a="1"/>
  <c r="N43" i="17" s="1"/>
  <c r="J43" i="17"/>
  <c r="O43" i="17" s="1"/>
  <c r="K43" i="17"/>
  <c r="L43" i="17"/>
  <c r="M43" i="17" s="1"/>
  <c r="I44" i="17"/>
  <c r="N44" i="17" s="1" a="1"/>
  <c r="N44" i="17" s="1"/>
  <c r="J44" i="17"/>
  <c r="O44" i="17" s="1"/>
  <c r="K44" i="17"/>
  <c r="L44" i="17"/>
  <c r="M44" i="17" s="1"/>
  <c r="I45" i="17"/>
  <c r="N45" i="17" s="1" a="1"/>
  <c r="N45" i="17" s="1"/>
  <c r="J45" i="17"/>
  <c r="O45" i="17" s="1"/>
  <c r="K45" i="17"/>
  <c r="L45" i="17"/>
  <c r="M45" i="17" s="1"/>
  <c r="I46" i="17"/>
  <c r="N46" i="17" s="1" a="1"/>
  <c r="N46" i="17" s="1"/>
  <c r="J46" i="17"/>
  <c r="O46" i="17" s="1"/>
  <c r="K46" i="17"/>
  <c r="L46" i="17"/>
  <c r="M46" i="17" s="1"/>
  <c r="I47" i="17"/>
  <c r="N47" i="17" s="1" a="1"/>
  <c r="N47" i="17" s="1"/>
  <c r="J47" i="17"/>
  <c r="O47" i="17" s="1"/>
  <c r="K47" i="17"/>
  <c r="L47" i="17"/>
  <c r="M47" i="17" s="1"/>
  <c r="I48" i="17"/>
  <c r="N48" i="17" s="1" a="1"/>
  <c r="N48" i="17" s="1"/>
  <c r="J48" i="17"/>
  <c r="O48" i="17" s="1"/>
  <c r="K48" i="17"/>
  <c r="L48" i="17"/>
  <c r="M48" i="17" s="1"/>
  <c r="I49" i="17"/>
  <c r="N49" i="17" s="1" a="1"/>
  <c r="N49" i="17" s="1"/>
  <c r="J49" i="17"/>
  <c r="O49" i="17" s="1"/>
  <c r="K49" i="17"/>
  <c r="L49" i="17"/>
  <c r="M49" i="17" s="1"/>
  <c r="I50" i="17"/>
  <c r="N50" i="17" s="1" a="1"/>
  <c r="N50" i="17" s="1"/>
  <c r="J50" i="17"/>
  <c r="O50" i="17" s="1"/>
  <c r="K50" i="17"/>
  <c r="L50" i="17"/>
  <c r="M50" i="17" s="1"/>
  <c r="I51" i="17"/>
  <c r="N51" i="17" s="1" a="1"/>
  <c r="N51" i="17" s="1"/>
  <c r="J51" i="17"/>
  <c r="O51" i="17" s="1"/>
  <c r="K51" i="17"/>
  <c r="L51" i="17"/>
  <c r="M51" i="17" s="1"/>
  <c r="I52" i="17"/>
  <c r="N52" i="17" s="1" a="1"/>
  <c r="N52" i="17" s="1"/>
  <c r="J52" i="17"/>
  <c r="O52" i="17" s="1"/>
  <c r="K52" i="17"/>
  <c r="L52" i="17"/>
  <c r="M52" i="17" s="1"/>
  <c r="I53" i="17"/>
  <c r="N53" i="17" s="1" a="1"/>
  <c r="N53" i="17" s="1"/>
  <c r="J53" i="17"/>
  <c r="O53" i="17" s="1"/>
  <c r="K53" i="17"/>
  <c r="L53" i="17"/>
  <c r="M53" i="17" s="1"/>
  <c r="I54" i="17"/>
  <c r="N54" i="17" s="1" a="1"/>
  <c r="N54" i="17" s="1"/>
  <c r="J54" i="17"/>
  <c r="O54" i="17" s="1"/>
  <c r="K54" i="17"/>
  <c r="L54" i="17"/>
  <c r="M54" i="17" s="1"/>
  <c r="I55" i="17"/>
  <c r="N55" i="17" s="1" a="1"/>
  <c r="N55" i="17" s="1"/>
  <c r="J55" i="17"/>
  <c r="O55" i="17" s="1"/>
  <c r="K55" i="17"/>
  <c r="L55" i="17"/>
  <c r="M55" i="17" s="1"/>
  <c r="I56" i="17"/>
  <c r="N56" i="17" s="1" a="1"/>
  <c r="N56" i="17" s="1"/>
  <c r="J56" i="17"/>
  <c r="O56" i="17" s="1"/>
  <c r="K56" i="17"/>
  <c r="L56" i="17"/>
  <c r="M56" i="17" s="1"/>
  <c r="I57" i="17"/>
  <c r="N57" i="17" s="1" a="1"/>
  <c r="N57" i="17" s="1"/>
  <c r="J57" i="17"/>
  <c r="O57" i="17" s="1"/>
  <c r="K57" i="17"/>
  <c r="L57" i="17"/>
  <c r="M57" i="17" s="1"/>
  <c r="I58" i="17"/>
  <c r="N58" i="17" s="1" a="1"/>
  <c r="N58" i="17" s="1"/>
  <c r="J58" i="17"/>
  <c r="O58" i="17" s="1"/>
  <c r="K58" i="17"/>
  <c r="L58" i="17"/>
  <c r="M58" i="17" s="1"/>
  <c r="I59" i="17"/>
  <c r="N59" i="17" s="1" a="1"/>
  <c r="N59" i="17" s="1"/>
  <c r="J59" i="17"/>
  <c r="O59" i="17" s="1"/>
  <c r="K59" i="17"/>
  <c r="L59" i="17"/>
  <c r="M59" i="17" s="1"/>
  <c r="I60" i="17"/>
  <c r="N60" i="17" s="1" a="1"/>
  <c r="N60" i="17" s="1"/>
  <c r="J60" i="17"/>
  <c r="O60" i="17" s="1"/>
  <c r="K60" i="17"/>
  <c r="L60" i="17"/>
  <c r="M60" i="17" s="1"/>
  <c r="I61" i="17"/>
  <c r="N61" i="17" s="1" a="1"/>
  <c r="N61" i="17" s="1"/>
  <c r="J61" i="17"/>
  <c r="O61" i="17" s="1"/>
  <c r="K61" i="17"/>
  <c r="L61" i="17"/>
  <c r="M61" i="17" s="1"/>
  <c r="I62" i="17"/>
  <c r="N62" i="17" s="1" a="1"/>
  <c r="N62" i="17" s="1"/>
  <c r="J62" i="17"/>
  <c r="O62" i="17" s="1"/>
  <c r="K62" i="17"/>
  <c r="L62" i="17"/>
  <c r="M62" i="17" s="1"/>
  <c r="I63" i="17"/>
  <c r="N63" i="17" s="1" a="1"/>
  <c r="N63" i="17" s="1"/>
  <c r="J63" i="17"/>
  <c r="O63" i="17" s="1"/>
  <c r="K63" i="17"/>
  <c r="L63" i="17"/>
  <c r="M63" i="17" s="1"/>
  <c r="I64" i="17"/>
  <c r="N64" i="17" s="1" a="1"/>
  <c r="N64" i="17" s="1"/>
  <c r="J64" i="17"/>
  <c r="O64" i="17" s="1"/>
  <c r="K64" i="17"/>
  <c r="L64" i="17"/>
  <c r="M64" i="17" s="1"/>
  <c r="I65" i="17"/>
  <c r="N65" i="17" s="1" a="1"/>
  <c r="N65" i="17" s="1"/>
  <c r="J65" i="17"/>
  <c r="O65" i="17" s="1"/>
  <c r="K65" i="17"/>
  <c r="L65" i="17"/>
  <c r="M65" i="17" s="1"/>
  <c r="I66" i="17"/>
  <c r="N66" i="17" s="1" a="1"/>
  <c r="N66" i="17" s="1"/>
  <c r="J66" i="17"/>
  <c r="O66" i="17" s="1"/>
  <c r="K66" i="17"/>
  <c r="L66" i="17"/>
  <c r="M66" i="17" s="1"/>
  <c r="I67" i="17"/>
  <c r="N67" i="17" s="1" a="1"/>
  <c r="N67" i="17" s="1"/>
  <c r="J67" i="17"/>
  <c r="O67" i="17" s="1"/>
  <c r="K67" i="17"/>
  <c r="L67" i="17"/>
  <c r="M67" i="17" s="1"/>
  <c r="I68" i="17"/>
  <c r="N68" i="17" s="1" a="1"/>
  <c r="N68" i="17" s="1"/>
  <c r="J68" i="17"/>
  <c r="O68" i="17" s="1"/>
  <c r="K68" i="17"/>
  <c r="L68" i="17"/>
  <c r="M68" i="17" s="1"/>
  <c r="I69" i="17"/>
  <c r="N69" i="17" s="1" a="1"/>
  <c r="N69" i="17" s="1"/>
  <c r="J69" i="17"/>
  <c r="O69" i="17" s="1"/>
  <c r="K69" i="17"/>
  <c r="L69" i="17"/>
  <c r="M69" i="17" s="1"/>
  <c r="I70" i="17"/>
  <c r="N70" i="17" s="1" a="1"/>
  <c r="N70" i="17" s="1"/>
  <c r="J70" i="17"/>
  <c r="O70" i="17" s="1"/>
  <c r="K70" i="17"/>
  <c r="L70" i="17"/>
  <c r="M70" i="17" s="1"/>
  <c r="I71" i="17"/>
  <c r="N71" i="17" s="1" a="1"/>
  <c r="N71" i="17" s="1"/>
  <c r="J71" i="17"/>
  <c r="O71" i="17" s="1"/>
  <c r="K71" i="17"/>
  <c r="L71" i="17"/>
  <c r="M71" i="17" s="1"/>
  <c r="I72" i="17"/>
  <c r="N72" i="17" s="1" a="1"/>
  <c r="N72" i="17" s="1"/>
  <c r="J72" i="17"/>
  <c r="O72" i="17" s="1"/>
  <c r="K72" i="17"/>
  <c r="L72" i="17"/>
  <c r="M72" i="17" s="1"/>
  <c r="I73" i="17"/>
  <c r="N73" i="17" s="1" a="1"/>
  <c r="N73" i="17" s="1"/>
  <c r="J73" i="17"/>
  <c r="O73" i="17" s="1"/>
  <c r="K73" i="17"/>
  <c r="L73" i="17"/>
  <c r="M73" i="17" s="1"/>
  <c r="I74" i="17"/>
  <c r="N74" i="17" s="1" a="1"/>
  <c r="N74" i="17" s="1"/>
  <c r="J74" i="17"/>
  <c r="O74" i="17" s="1"/>
  <c r="K74" i="17"/>
  <c r="L74" i="17"/>
  <c r="M74" i="17" s="1"/>
  <c r="I75" i="17"/>
  <c r="N75" i="17" s="1" a="1"/>
  <c r="N75" i="17" s="1"/>
  <c r="J75" i="17"/>
  <c r="O75" i="17" s="1"/>
  <c r="K75" i="17"/>
  <c r="L75" i="17"/>
  <c r="M75" i="17" s="1"/>
  <c r="I76" i="17"/>
  <c r="N76" i="17" s="1" a="1"/>
  <c r="N76" i="17" s="1"/>
  <c r="J76" i="17"/>
  <c r="O76" i="17" s="1"/>
  <c r="K76" i="17"/>
  <c r="L76" i="17"/>
  <c r="M76" i="17" s="1"/>
  <c r="I77" i="17"/>
  <c r="N77" i="17" s="1" a="1"/>
  <c r="N77" i="17" s="1"/>
  <c r="J77" i="17"/>
  <c r="O77" i="17" s="1"/>
  <c r="K77" i="17"/>
  <c r="L77" i="17"/>
  <c r="M77" i="17" s="1"/>
  <c r="I78" i="17"/>
  <c r="N78" i="17" s="1" a="1"/>
  <c r="N78" i="17" s="1"/>
  <c r="J78" i="17"/>
  <c r="O78" i="17" s="1"/>
  <c r="K78" i="17"/>
  <c r="L78" i="17"/>
  <c r="M78" i="17" s="1"/>
  <c r="I79" i="17"/>
  <c r="N79" i="17" s="1" a="1"/>
  <c r="N79" i="17" s="1"/>
  <c r="J79" i="17"/>
  <c r="O79" i="17" s="1"/>
  <c r="K79" i="17"/>
  <c r="L79" i="17"/>
  <c r="M79" i="17" s="1"/>
  <c r="I80" i="17"/>
  <c r="N80" i="17" s="1" a="1"/>
  <c r="N80" i="17" s="1"/>
  <c r="J80" i="17"/>
  <c r="O80" i="17" s="1"/>
  <c r="K80" i="17"/>
  <c r="L80" i="17"/>
  <c r="M80" i="17" s="1"/>
  <c r="I81" i="17"/>
  <c r="N81" i="17" s="1" a="1"/>
  <c r="N81" i="17" s="1"/>
  <c r="J81" i="17"/>
  <c r="O81" i="17" s="1"/>
  <c r="K81" i="17"/>
  <c r="L81" i="17"/>
  <c r="M81" i="17" s="1"/>
  <c r="I82" i="17"/>
  <c r="N82" i="17" s="1" a="1"/>
  <c r="N82" i="17" s="1"/>
  <c r="J82" i="17"/>
  <c r="O82" i="17" s="1"/>
  <c r="K82" i="17"/>
  <c r="L82" i="17"/>
  <c r="M82" i="17" s="1"/>
  <c r="I83" i="17"/>
  <c r="N83" i="17" s="1" a="1"/>
  <c r="N83" i="17" s="1"/>
  <c r="J83" i="17"/>
  <c r="O83" i="17" s="1"/>
  <c r="K83" i="17"/>
  <c r="L83" i="17"/>
  <c r="M83" i="17" s="1"/>
  <c r="I84" i="17"/>
  <c r="N84" i="17" s="1" a="1"/>
  <c r="N84" i="17" s="1"/>
  <c r="J84" i="17"/>
  <c r="O84" i="17" s="1"/>
  <c r="K84" i="17"/>
  <c r="L84" i="17"/>
  <c r="M84" i="17" s="1"/>
  <c r="I85" i="17"/>
  <c r="N85" i="17" s="1" a="1"/>
  <c r="N85" i="17" s="1"/>
  <c r="J85" i="17"/>
  <c r="O85" i="17" s="1"/>
  <c r="K85" i="17"/>
  <c r="L85" i="17"/>
  <c r="M85" i="17" s="1"/>
  <c r="I86" i="17"/>
  <c r="N86" i="17" s="1" a="1"/>
  <c r="N86" i="17" s="1"/>
  <c r="J86" i="17"/>
  <c r="O86" i="17" s="1"/>
  <c r="K86" i="17"/>
  <c r="L86" i="17"/>
  <c r="M86" i="17" s="1"/>
  <c r="I87" i="17"/>
  <c r="N87" i="17" s="1" a="1"/>
  <c r="N87" i="17" s="1"/>
  <c r="J87" i="17"/>
  <c r="O87" i="17" s="1"/>
  <c r="K87" i="17"/>
  <c r="L87" i="17"/>
  <c r="M87" i="17" s="1"/>
  <c r="I88" i="17"/>
  <c r="N88" i="17" s="1" a="1"/>
  <c r="N88" i="17" s="1"/>
  <c r="J88" i="17"/>
  <c r="O88" i="17" s="1"/>
  <c r="K88" i="17"/>
  <c r="L88" i="17"/>
  <c r="M88" i="17" s="1"/>
  <c r="I89" i="17"/>
  <c r="N89" i="17" s="1" a="1"/>
  <c r="N89" i="17" s="1"/>
  <c r="J89" i="17"/>
  <c r="O89" i="17" s="1"/>
  <c r="K89" i="17"/>
  <c r="L89" i="17"/>
  <c r="M89" i="17" s="1"/>
  <c r="I90" i="17"/>
  <c r="N90" i="17" s="1" a="1"/>
  <c r="N90" i="17" s="1"/>
  <c r="J90" i="17"/>
  <c r="O90" i="17" s="1"/>
  <c r="K90" i="17"/>
  <c r="L90" i="17"/>
  <c r="M90" i="17" s="1"/>
  <c r="I91" i="17"/>
  <c r="N91" i="17" s="1" a="1"/>
  <c r="N91" i="17" s="1"/>
  <c r="J91" i="17"/>
  <c r="O91" i="17" s="1"/>
  <c r="K91" i="17"/>
  <c r="L91" i="17"/>
  <c r="M91" i="17" s="1"/>
  <c r="I92" i="17"/>
  <c r="N92" i="17" s="1" a="1"/>
  <c r="N92" i="17" s="1"/>
  <c r="J92" i="17"/>
  <c r="O92" i="17" s="1"/>
  <c r="K92" i="17"/>
  <c r="L92" i="17"/>
  <c r="M92" i="17" s="1"/>
  <c r="I93" i="17"/>
  <c r="N93" i="17" s="1" a="1"/>
  <c r="N93" i="17" s="1"/>
  <c r="J93" i="17"/>
  <c r="O93" i="17" s="1"/>
  <c r="K93" i="17"/>
  <c r="L93" i="17"/>
  <c r="M93" i="17" s="1"/>
  <c r="I94" i="17"/>
  <c r="N94" i="17" s="1" a="1"/>
  <c r="N94" i="17" s="1"/>
  <c r="J94" i="17"/>
  <c r="O94" i="17" s="1"/>
  <c r="K94" i="17"/>
  <c r="L94" i="17"/>
  <c r="M94" i="17" s="1"/>
  <c r="I95" i="17"/>
  <c r="N95" i="17" s="1" a="1"/>
  <c r="N95" i="17" s="1"/>
  <c r="J95" i="17"/>
  <c r="O95" i="17" s="1"/>
  <c r="K95" i="17"/>
  <c r="L95" i="17"/>
  <c r="M95" i="17" s="1"/>
  <c r="I96" i="17"/>
  <c r="N96" i="17" s="1" a="1"/>
  <c r="N96" i="17" s="1"/>
  <c r="J96" i="17"/>
  <c r="O96" i="17" s="1"/>
  <c r="K96" i="17"/>
  <c r="L96" i="17"/>
  <c r="M96" i="17" s="1"/>
  <c r="I97" i="17"/>
  <c r="N97" i="17" s="1" a="1"/>
  <c r="N97" i="17" s="1"/>
  <c r="J97" i="17"/>
  <c r="O97" i="17" s="1"/>
  <c r="K97" i="17"/>
  <c r="L97" i="17"/>
  <c r="M97" i="17" s="1"/>
  <c r="I98" i="17"/>
  <c r="N98" i="17" s="1" a="1"/>
  <c r="N98" i="17" s="1"/>
  <c r="J98" i="17"/>
  <c r="O98" i="17" s="1"/>
  <c r="K98" i="17"/>
  <c r="L98" i="17"/>
  <c r="M98" i="17" s="1"/>
  <c r="I99" i="17"/>
  <c r="N99" i="17" s="1" a="1"/>
  <c r="N99" i="17" s="1"/>
  <c r="J99" i="17"/>
  <c r="O99" i="17" s="1"/>
  <c r="K99" i="17"/>
  <c r="L99" i="17"/>
  <c r="M99" i="17" s="1"/>
  <c r="I100" i="17"/>
  <c r="N100" i="17" s="1" a="1"/>
  <c r="N100" i="17" s="1"/>
  <c r="J100" i="17"/>
  <c r="O100" i="17" s="1"/>
  <c r="K100" i="17"/>
  <c r="L100" i="17"/>
  <c r="M100" i="17" s="1"/>
  <c r="I101" i="17"/>
  <c r="N101" i="17" s="1" a="1"/>
  <c r="N101" i="17" s="1"/>
  <c r="J101" i="17"/>
  <c r="O101" i="17" s="1"/>
  <c r="K101" i="17"/>
  <c r="L101" i="17"/>
  <c r="M101" i="17" s="1"/>
  <c r="I102" i="17"/>
  <c r="N102" i="17" s="1" a="1"/>
  <c r="N102" i="17" s="1"/>
  <c r="J102" i="17"/>
  <c r="O102" i="17" s="1"/>
  <c r="K102" i="17"/>
  <c r="L102" i="17"/>
  <c r="M102" i="17" s="1"/>
  <c r="I103" i="17"/>
  <c r="N103" i="17" s="1" a="1"/>
  <c r="N103" i="17" s="1"/>
  <c r="J103" i="17"/>
  <c r="O103" i="17" s="1"/>
  <c r="K103" i="17"/>
  <c r="L103" i="17"/>
  <c r="M103" i="17" s="1"/>
  <c r="I104" i="17"/>
  <c r="N104" i="17" s="1" a="1"/>
  <c r="N104" i="17" s="1"/>
  <c r="J104" i="17"/>
  <c r="O104" i="17" s="1"/>
  <c r="K104" i="17"/>
  <c r="L104" i="17"/>
  <c r="M104" i="17" s="1"/>
  <c r="I105" i="17"/>
  <c r="N105" i="17" s="1" a="1"/>
  <c r="N105" i="17" s="1"/>
  <c r="J105" i="17"/>
  <c r="O105" i="17" s="1"/>
  <c r="K105" i="17"/>
  <c r="L105" i="17"/>
  <c r="M105" i="17" s="1"/>
  <c r="I106" i="17"/>
  <c r="N106" i="17" s="1" a="1"/>
  <c r="N106" i="17" s="1"/>
  <c r="J106" i="17"/>
  <c r="O106" i="17" s="1"/>
  <c r="K106" i="17"/>
  <c r="L106" i="17"/>
  <c r="M106" i="17" s="1"/>
  <c r="I107" i="17"/>
  <c r="N107" i="17" s="1" a="1"/>
  <c r="N107" i="17" s="1"/>
  <c r="J107" i="17"/>
  <c r="O107" i="17" s="1"/>
  <c r="K107" i="17"/>
  <c r="L107" i="17"/>
  <c r="M107" i="17" s="1"/>
  <c r="I108" i="17"/>
  <c r="N108" i="17" s="1" a="1"/>
  <c r="N108" i="17" s="1"/>
  <c r="J108" i="17"/>
  <c r="O108" i="17" s="1"/>
  <c r="K108" i="17"/>
  <c r="L108" i="17"/>
  <c r="M108" i="17" s="1"/>
  <c r="I109" i="17"/>
  <c r="N109" i="17" s="1" a="1"/>
  <c r="N109" i="17" s="1"/>
  <c r="J109" i="17"/>
  <c r="O109" i="17" s="1"/>
  <c r="K109" i="17"/>
  <c r="L109" i="17"/>
  <c r="M109" i="17" s="1"/>
  <c r="I110" i="17"/>
  <c r="N110" i="17" s="1" a="1"/>
  <c r="N110" i="17" s="1"/>
  <c r="J110" i="17"/>
  <c r="O110" i="17" s="1"/>
  <c r="K110" i="17"/>
  <c r="L110" i="17"/>
  <c r="M110" i="17" s="1"/>
  <c r="I111" i="17"/>
  <c r="N111" i="17" s="1" a="1"/>
  <c r="N111" i="17" s="1"/>
  <c r="J111" i="17"/>
  <c r="O111" i="17" s="1"/>
  <c r="K111" i="17"/>
  <c r="L111" i="17"/>
  <c r="M111" i="17" s="1"/>
  <c r="I112" i="17"/>
  <c r="N112" i="17" s="1" a="1"/>
  <c r="N112" i="17" s="1"/>
  <c r="J112" i="17"/>
  <c r="O112" i="17" s="1"/>
  <c r="K112" i="17"/>
  <c r="L112" i="17"/>
  <c r="M112" i="17" s="1"/>
  <c r="I113" i="17"/>
  <c r="N113" i="17" s="1" a="1"/>
  <c r="N113" i="17" s="1"/>
  <c r="J113" i="17"/>
  <c r="O113" i="17" s="1"/>
  <c r="K113" i="17"/>
  <c r="L113" i="17"/>
  <c r="M113" i="17" s="1"/>
  <c r="I114" i="17"/>
  <c r="N114" i="17" s="1" a="1"/>
  <c r="N114" i="17" s="1"/>
  <c r="J114" i="17"/>
  <c r="O114" i="17" s="1"/>
  <c r="K114" i="17"/>
  <c r="L114" i="17"/>
  <c r="M114" i="17" s="1"/>
  <c r="I115" i="17"/>
  <c r="N115" i="17" s="1" a="1"/>
  <c r="N115" i="17" s="1"/>
  <c r="J115" i="17"/>
  <c r="O115" i="17" s="1"/>
  <c r="K115" i="17"/>
  <c r="L115" i="17"/>
  <c r="M115" i="17" s="1"/>
  <c r="I116" i="17"/>
  <c r="N116" i="17" s="1" a="1"/>
  <c r="N116" i="17" s="1"/>
  <c r="J116" i="17"/>
  <c r="O116" i="17" s="1"/>
  <c r="K116" i="17"/>
  <c r="L116" i="17"/>
  <c r="M116" i="17" s="1"/>
  <c r="I117" i="17"/>
  <c r="N117" i="17" s="1" a="1"/>
  <c r="N117" i="17" s="1"/>
  <c r="J117" i="17"/>
  <c r="O117" i="17" s="1"/>
  <c r="K117" i="17"/>
  <c r="L117" i="17"/>
  <c r="M117" i="17" s="1"/>
  <c r="I118" i="17"/>
  <c r="N118" i="17" s="1" a="1"/>
  <c r="N118" i="17" s="1"/>
  <c r="J118" i="17"/>
  <c r="O118" i="17" s="1"/>
  <c r="K118" i="17"/>
  <c r="L118" i="17"/>
  <c r="M118" i="17" s="1"/>
  <c r="I119" i="17"/>
  <c r="N119" i="17" s="1" a="1"/>
  <c r="N119" i="17" s="1"/>
  <c r="J119" i="17"/>
  <c r="O119" i="17" s="1"/>
  <c r="K119" i="17"/>
  <c r="L119" i="17"/>
  <c r="M119" i="17" s="1"/>
  <c r="I120" i="17"/>
  <c r="N120" i="17" s="1" a="1"/>
  <c r="N120" i="17" s="1"/>
  <c r="J120" i="17"/>
  <c r="O120" i="17" s="1"/>
  <c r="K120" i="17"/>
  <c r="L120" i="17"/>
  <c r="M120" i="17" s="1"/>
  <c r="I121" i="17"/>
  <c r="N121" i="17" s="1" a="1"/>
  <c r="N121" i="17" s="1"/>
  <c r="J121" i="17"/>
  <c r="O121" i="17" s="1"/>
  <c r="K121" i="17"/>
  <c r="L121" i="17"/>
  <c r="M121" i="17" s="1"/>
  <c r="I122" i="17"/>
  <c r="N122" i="17" s="1" a="1"/>
  <c r="N122" i="17" s="1"/>
  <c r="J122" i="17"/>
  <c r="O122" i="17" s="1"/>
  <c r="K122" i="17"/>
  <c r="L122" i="17"/>
  <c r="M122" i="17" s="1"/>
  <c r="I123" i="17"/>
  <c r="N123" i="17" s="1" a="1"/>
  <c r="N123" i="17" s="1"/>
  <c r="J123" i="17"/>
  <c r="O123" i="17" s="1"/>
  <c r="K123" i="17"/>
  <c r="L123" i="17"/>
  <c r="M123" i="17" s="1"/>
  <c r="I124" i="17"/>
  <c r="N124" i="17" s="1" a="1"/>
  <c r="N124" i="17" s="1"/>
  <c r="J124" i="17"/>
  <c r="O124" i="17" s="1"/>
  <c r="K124" i="17"/>
  <c r="L124" i="17"/>
  <c r="M124" i="17" s="1"/>
  <c r="I125" i="17"/>
  <c r="N125" i="17" s="1" a="1"/>
  <c r="N125" i="17" s="1"/>
  <c r="J125" i="17"/>
  <c r="O125" i="17" s="1"/>
  <c r="K125" i="17"/>
  <c r="L125" i="17"/>
  <c r="I126" i="17"/>
  <c r="N126" i="17" s="1" a="1"/>
  <c r="N126" i="17" s="1"/>
  <c r="J126" i="17"/>
  <c r="O126" i="17" s="1"/>
  <c r="K126" i="17"/>
  <c r="L126" i="17"/>
  <c r="M126" i="17" s="1"/>
  <c r="I127" i="17"/>
  <c r="N127" i="17" s="1" a="1"/>
  <c r="N127" i="17" s="1"/>
  <c r="J127" i="17"/>
  <c r="O127" i="17" s="1"/>
  <c r="K127" i="17"/>
  <c r="L127" i="17"/>
  <c r="M127" i="17" s="1"/>
  <c r="I128" i="17"/>
  <c r="N128" i="17" s="1" a="1"/>
  <c r="N128" i="17" s="1"/>
  <c r="J128" i="17"/>
  <c r="O128" i="17" s="1"/>
  <c r="K128" i="17"/>
  <c r="L128" i="17"/>
  <c r="M128" i="17" s="1"/>
  <c r="I129" i="17"/>
  <c r="N129" i="17" s="1" a="1"/>
  <c r="N129" i="17" s="1"/>
  <c r="J129" i="17"/>
  <c r="O129" i="17" s="1"/>
  <c r="K129" i="17"/>
  <c r="L129" i="17"/>
  <c r="M129" i="17" s="1"/>
  <c r="I130" i="17"/>
  <c r="N130" i="17" s="1" a="1"/>
  <c r="N130" i="17" s="1"/>
  <c r="J130" i="17"/>
  <c r="O130" i="17" s="1"/>
  <c r="K130" i="17"/>
  <c r="L130" i="17"/>
  <c r="M130" i="17" s="1"/>
  <c r="I131" i="17"/>
  <c r="N131" i="17" s="1" a="1"/>
  <c r="N131" i="17" s="1"/>
  <c r="J131" i="17"/>
  <c r="O131" i="17" s="1"/>
  <c r="K131" i="17"/>
  <c r="L131" i="17"/>
  <c r="M131" i="17" s="1"/>
  <c r="I132" i="17"/>
  <c r="N132" i="17" s="1" a="1"/>
  <c r="N132" i="17" s="1"/>
  <c r="J132" i="17"/>
  <c r="O132" i="17" s="1"/>
  <c r="K132" i="17"/>
  <c r="L132" i="17"/>
  <c r="M132" i="17" s="1"/>
  <c r="I133" i="17"/>
  <c r="N133" i="17" s="1" a="1"/>
  <c r="N133" i="17" s="1"/>
  <c r="J133" i="17"/>
  <c r="O133" i="17" s="1"/>
  <c r="K133" i="17"/>
  <c r="L133" i="17"/>
  <c r="M133" i="17" s="1"/>
  <c r="I134" i="17"/>
  <c r="N134" i="17" s="1" a="1"/>
  <c r="N134" i="17" s="1"/>
  <c r="J134" i="17"/>
  <c r="O134" i="17" s="1"/>
  <c r="K134" i="17"/>
  <c r="L134" i="17"/>
  <c r="M134" i="17" s="1"/>
  <c r="I135" i="17"/>
  <c r="N135" i="17" s="1" a="1"/>
  <c r="N135" i="17" s="1"/>
  <c r="J135" i="17"/>
  <c r="O135" i="17" s="1"/>
  <c r="K135" i="17"/>
  <c r="L135" i="17"/>
  <c r="M135" i="17" s="1"/>
  <c r="I136" i="17"/>
  <c r="N136" i="17" s="1" a="1"/>
  <c r="N136" i="17" s="1"/>
  <c r="J136" i="17"/>
  <c r="O136" i="17" s="1"/>
  <c r="K136" i="17"/>
  <c r="L136" i="17"/>
  <c r="M136" i="17" s="1"/>
  <c r="I137" i="17"/>
  <c r="N137" i="17" s="1" a="1"/>
  <c r="N137" i="17" s="1"/>
  <c r="J137" i="17"/>
  <c r="O137" i="17" s="1"/>
  <c r="K137" i="17"/>
  <c r="L137" i="17"/>
  <c r="M137" i="17" s="1"/>
  <c r="I138" i="17"/>
  <c r="N138" i="17" s="1" a="1"/>
  <c r="N138" i="17" s="1"/>
  <c r="J138" i="17"/>
  <c r="O138" i="17" s="1"/>
  <c r="K138" i="17"/>
  <c r="L138" i="17"/>
  <c r="M138" i="17" s="1"/>
  <c r="I139" i="17"/>
  <c r="N139" i="17" s="1" a="1"/>
  <c r="N139" i="17" s="1"/>
  <c r="J139" i="17"/>
  <c r="O139" i="17" s="1"/>
  <c r="K139" i="17"/>
  <c r="L139" i="17"/>
  <c r="M139" i="17" s="1"/>
  <c r="I140" i="17"/>
  <c r="N140" i="17" s="1" a="1"/>
  <c r="N140" i="17" s="1"/>
  <c r="J140" i="17"/>
  <c r="O140" i="17" s="1"/>
  <c r="K140" i="17"/>
  <c r="L140" i="17"/>
  <c r="M140" i="17" s="1"/>
  <c r="I141" i="17"/>
  <c r="N141" i="17" s="1" a="1"/>
  <c r="N141" i="17" s="1"/>
  <c r="J141" i="17"/>
  <c r="O141" i="17" s="1"/>
  <c r="K141" i="17"/>
  <c r="L141" i="17"/>
  <c r="M141" i="17" s="1"/>
  <c r="I142" i="17"/>
  <c r="N142" i="17" s="1" a="1"/>
  <c r="N142" i="17" s="1"/>
  <c r="J142" i="17"/>
  <c r="O142" i="17" s="1"/>
  <c r="K142" i="17"/>
  <c r="L142" i="17"/>
  <c r="M142" i="17" s="1"/>
  <c r="I143" i="17"/>
  <c r="N143" i="17" s="1" a="1"/>
  <c r="N143" i="17" s="1"/>
  <c r="J143" i="17"/>
  <c r="O143" i="17" s="1"/>
  <c r="K143" i="17"/>
  <c r="L143" i="17"/>
  <c r="M143" i="17" s="1"/>
  <c r="I144" i="17"/>
  <c r="N144" i="17" s="1" a="1"/>
  <c r="N144" i="17" s="1"/>
  <c r="J144" i="17"/>
  <c r="O144" i="17" s="1"/>
  <c r="K144" i="17"/>
  <c r="L144" i="17"/>
  <c r="M144" i="17" s="1"/>
  <c r="I145" i="17"/>
  <c r="N145" i="17" s="1" a="1"/>
  <c r="N145" i="17" s="1"/>
  <c r="J145" i="17"/>
  <c r="O145" i="17" s="1"/>
  <c r="K145" i="17"/>
  <c r="L145" i="17"/>
  <c r="M145" i="17" s="1"/>
  <c r="I146" i="17"/>
  <c r="N146" i="17" s="1" a="1"/>
  <c r="N146" i="17" s="1"/>
  <c r="J146" i="17"/>
  <c r="O146" i="17" s="1"/>
  <c r="K146" i="17"/>
  <c r="L146" i="17"/>
  <c r="M146" i="17" s="1"/>
  <c r="I147" i="17"/>
  <c r="N147" i="17" s="1" a="1"/>
  <c r="N147" i="17" s="1"/>
  <c r="J147" i="17"/>
  <c r="O147" i="17" s="1"/>
  <c r="K147" i="17"/>
  <c r="L147" i="17"/>
  <c r="M147" i="17" s="1"/>
  <c r="I148" i="17"/>
  <c r="N148" i="17" s="1" a="1"/>
  <c r="N148" i="17" s="1"/>
  <c r="J148" i="17"/>
  <c r="O148" i="17" s="1"/>
  <c r="K148" i="17"/>
  <c r="L148" i="17"/>
  <c r="M148" i="17" s="1"/>
  <c r="I149" i="17"/>
  <c r="N149" i="17" s="1" a="1"/>
  <c r="N149" i="17" s="1"/>
  <c r="J149" i="17"/>
  <c r="O149" i="17" s="1"/>
  <c r="K149" i="17"/>
  <c r="L149" i="17"/>
  <c r="M149" i="17" s="1"/>
  <c r="I150" i="17"/>
  <c r="N150" i="17" s="1" a="1"/>
  <c r="N150" i="17" s="1"/>
  <c r="J150" i="17"/>
  <c r="O150" i="17" s="1"/>
  <c r="K150" i="17"/>
  <c r="L150" i="17"/>
  <c r="M150" i="17" s="1"/>
  <c r="I151" i="17"/>
  <c r="N151" i="17" s="1" a="1"/>
  <c r="N151" i="17" s="1"/>
  <c r="J151" i="17"/>
  <c r="O151" i="17" s="1"/>
  <c r="K151" i="17"/>
  <c r="L151" i="17"/>
  <c r="M151" i="17" s="1"/>
  <c r="I152" i="17"/>
  <c r="N152" i="17" s="1" a="1"/>
  <c r="N152" i="17" s="1"/>
  <c r="J152" i="17"/>
  <c r="O152" i="17" s="1"/>
  <c r="K152" i="17"/>
  <c r="L152" i="17"/>
  <c r="M152" i="17" s="1"/>
  <c r="I153" i="17"/>
  <c r="N153" i="17" s="1" a="1"/>
  <c r="N153" i="17" s="1"/>
  <c r="J153" i="17"/>
  <c r="O153" i="17" s="1"/>
  <c r="K153" i="17"/>
  <c r="L153" i="17"/>
  <c r="M153" i="17" s="1"/>
  <c r="I154" i="17"/>
  <c r="N154" i="17" s="1" a="1"/>
  <c r="N154" i="17" s="1"/>
  <c r="J154" i="17"/>
  <c r="O154" i="17" s="1"/>
  <c r="K154" i="17"/>
  <c r="L154" i="17"/>
  <c r="M154" i="17" s="1"/>
  <c r="I155" i="17"/>
  <c r="N155" i="17" s="1" a="1"/>
  <c r="N155" i="17" s="1"/>
  <c r="J155" i="17"/>
  <c r="O155" i="17" s="1"/>
  <c r="K155" i="17"/>
  <c r="L155" i="17"/>
  <c r="M155" i="17" s="1"/>
  <c r="I156" i="17"/>
  <c r="N156" i="17" s="1" a="1"/>
  <c r="N156" i="17" s="1"/>
  <c r="J156" i="17"/>
  <c r="O156" i="17" s="1"/>
  <c r="K156" i="17"/>
  <c r="L156" i="17"/>
  <c r="M156" i="17" s="1"/>
  <c r="I157" i="17"/>
  <c r="N157" i="17" s="1" a="1"/>
  <c r="N157" i="17" s="1"/>
  <c r="J157" i="17"/>
  <c r="O157" i="17" s="1"/>
  <c r="K157" i="17"/>
  <c r="L157" i="17"/>
  <c r="M157" i="17" s="1"/>
  <c r="I158" i="17"/>
  <c r="N158" i="17" s="1" a="1"/>
  <c r="N158" i="17" s="1"/>
  <c r="J158" i="17"/>
  <c r="O158" i="17" s="1"/>
  <c r="K158" i="17"/>
  <c r="L158" i="17"/>
  <c r="M158" i="17" s="1"/>
  <c r="I159" i="17"/>
  <c r="N159" i="17" s="1" a="1"/>
  <c r="N159" i="17" s="1"/>
  <c r="J159" i="17"/>
  <c r="O159" i="17" s="1"/>
  <c r="K159" i="17"/>
  <c r="L159" i="17"/>
  <c r="M159" i="17" s="1"/>
  <c r="I160" i="17"/>
  <c r="N160" i="17" s="1" a="1"/>
  <c r="N160" i="17" s="1"/>
  <c r="J160" i="17"/>
  <c r="O160" i="17" s="1"/>
  <c r="K160" i="17"/>
  <c r="L160" i="17"/>
  <c r="M160" i="17" s="1"/>
  <c r="I161" i="17"/>
  <c r="N161" i="17" s="1" a="1"/>
  <c r="N161" i="17" s="1"/>
  <c r="J161" i="17"/>
  <c r="O161" i="17" s="1"/>
  <c r="K161" i="17"/>
  <c r="L161" i="17"/>
  <c r="M161" i="17" s="1"/>
  <c r="I162" i="17"/>
  <c r="N162" i="17" s="1" a="1"/>
  <c r="N162" i="17" s="1"/>
  <c r="J162" i="17"/>
  <c r="O162" i="17" s="1"/>
  <c r="K162" i="17"/>
  <c r="L162" i="17"/>
  <c r="M162" i="17" s="1"/>
  <c r="I163" i="17"/>
  <c r="N163" i="17" s="1" a="1"/>
  <c r="N163" i="17" s="1"/>
  <c r="J163" i="17"/>
  <c r="O163" i="17" s="1"/>
  <c r="K163" i="17"/>
  <c r="L163" i="17"/>
  <c r="M163" i="17" s="1"/>
  <c r="I164" i="17"/>
  <c r="N164" i="17" s="1" a="1"/>
  <c r="N164" i="17" s="1"/>
  <c r="J164" i="17"/>
  <c r="O164" i="17" s="1"/>
  <c r="K164" i="17"/>
  <c r="L164" i="17"/>
  <c r="M164" i="17" s="1"/>
  <c r="I165" i="17"/>
  <c r="N165" i="17" s="1" a="1"/>
  <c r="N165" i="17" s="1"/>
  <c r="J165" i="17"/>
  <c r="O165" i="17" s="1"/>
  <c r="K165" i="17"/>
  <c r="L165" i="17"/>
  <c r="M165" i="17" s="1"/>
  <c r="I166" i="17"/>
  <c r="N166" i="17" s="1" a="1"/>
  <c r="N166" i="17" s="1"/>
  <c r="J166" i="17"/>
  <c r="O166" i="17" s="1"/>
  <c r="K166" i="17"/>
  <c r="L166" i="17"/>
  <c r="M166" i="17" s="1"/>
  <c r="I167" i="17"/>
  <c r="N167" i="17" s="1" a="1"/>
  <c r="N167" i="17" s="1"/>
  <c r="J167" i="17"/>
  <c r="O167" i="17" s="1"/>
  <c r="K167" i="17"/>
  <c r="L167" i="17"/>
  <c r="M167" i="17" s="1"/>
  <c r="I168" i="17"/>
  <c r="N168" i="17" s="1" a="1"/>
  <c r="N168" i="17" s="1"/>
  <c r="J168" i="17"/>
  <c r="O168" i="17" s="1"/>
  <c r="K168" i="17"/>
  <c r="L168" i="17"/>
  <c r="M168" i="17" s="1"/>
  <c r="I169" i="17"/>
  <c r="N169" i="17" s="1" a="1"/>
  <c r="N169" i="17" s="1"/>
  <c r="J169" i="17"/>
  <c r="O169" i="17" s="1"/>
  <c r="K169" i="17"/>
  <c r="L169" i="17"/>
  <c r="M169" i="17" s="1"/>
  <c r="I170" i="17"/>
  <c r="N170" i="17" s="1" a="1"/>
  <c r="N170" i="17" s="1"/>
  <c r="J170" i="17"/>
  <c r="O170" i="17" s="1"/>
  <c r="K170" i="17"/>
  <c r="L170" i="17"/>
  <c r="M170" i="17" s="1"/>
  <c r="I171" i="17"/>
  <c r="N171" i="17" s="1" a="1"/>
  <c r="N171" i="17" s="1"/>
  <c r="J171" i="17"/>
  <c r="O171" i="17" s="1"/>
  <c r="K171" i="17"/>
  <c r="L171" i="17"/>
  <c r="M171" i="17" s="1"/>
  <c r="I172" i="17"/>
  <c r="N172" i="17" s="1" a="1"/>
  <c r="N172" i="17" s="1"/>
  <c r="J172" i="17"/>
  <c r="O172" i="17" s="1"/>
  <c r="K172" i="17"/>
  <c r="L172" i="17"/>
  <c r="M172" i="17" s="1"/>
  <c r="I173" i="17"/>
  <c r="N173" i="17" s="1" a="1"/>
  <c r="N173" i="17" s="1"/>
  <c r="J173" i="17"/>
  <c r="O173" i="17" s="1"/>
  <c r="K173" i="17"/>
  <c r="L173" i="17"/>
  <c r="M173" i="17" s="1"/>
  <c r="I174" i="17"/>
  <c r="N174" i="17" s="1" a="1"/>
  <c r="N174" i="17" s="1"/>
  <c r="J174" i="17"/>
  <c r="O174" i="17" s="1"/>
  <c r="K174" i="17"/>
  <c r="L174" i="17"/>
  <c r="M174" i="17" s="1"/>
  <c r="I175" i="17"/>
  <c r="N175" i="17" s="1" a="1"/>
  <c r="N175" i="17" s="1"/>
  <c r="J175" i="17"/>
  <c r="O175" i="17" s="1"/>
  <c r="K175" i="17"/>
  <c r="L175" i="17"/>
  <c r="M175" i="17" s="1"/>
  <c r="I176" i="17"/>
  <c r="N176" i="17" s="1" a="1"/>
  <c r="N176" i="17" s="1"/>
  <c r="J176" i="17"/>
  <c r="O176" i="17" s="1"/>
  <c r="K176" i="17"/>
  <c r="L176" i="17"/>
  <c r="M176" i="17" s="1"/>
  <c r="I177" i="17"/>
  <c r="N177" i="17" s="1" a="1"/>
  <c r="N177" i="17" s="1"/>
  <c r="J177" i="17"/>
  <c r="O177" i="17" s="1"/>
  <c r="K177" i="17"/>
  <c r="L177" i="17"/>
  <c r="M177" i="17" s="1"/>
  <c r="I178" i="17"/>
  <c r="N178" i="17" s="1" a="1"/>
  <c r="N178" i="17" s="1"/>
  <c r="J178" i="17"/>
  <c r="O178" i="17" s="1"/>
  <c r="K178" i="17"/>
  <c r="L178" i="17"/>
  <c r="M178" i="17" s="1"/>
  <c r="I179" i="17"/>
  <c r="N179" i="17" s="1" a="1"/>
  <c r="N179" i="17" s="1"/>
  <c r="J179" i="17"/>
  <c r="O179" i="17" s="1"/>
  <c r="K179" i="17"/>
  <c r="L179" i="17"/>
  <c r="M179" i="17" s="1"/>
  <c r="I180" i="17"/>
  <c r="N180" i="17" s="1" a="1"/>
  <c r="N180" i="17" s="1"/>
  <c r="J180" i="17"/>
  <c r="O180" i="17" s="1"/>
  <c r="K180" i="17"/>
  <c r="L180" i="17"/>
  <c r="M180" i="17" s="1"/>
  <c r="I181" i="17"/>
  <c r="N181" i="17" s="1" a="1"/>
  <c r="N181" i="17" s="1"/>
  <c r="J181" i="17"/>
  <c r="O181" i="17" s="1"/>
  <c r="K181" i="17"/>
  <c r="L181" i="17"/>
  <c r="M181" i="17" s="1"/>
  <c r="I182" i="17"/>
  <c r="N182" i="17" s="1" a="1"/>
  <c r="N182" i="17" s="1"/>
  <c r="J182" i="17"/>
  <c r="O182" i="17" s="1"/>
  <c r="K182" i="17"/>
  <c r="L182" i="17"/>
  <c r="M182" i="17" s="1"/>
  <c r="I183" i="17"/>
  <c r="N183" i="17" s="1" a="1"/>
  <c r="N183" i="17" s="1"/>
  <c r="J183" i="17"/>
  <c r="O183" i="17" s="1"/>
  <c r="K183" i="17"/>
  <c r="L183" i="17"/>
  <c r="M183" i="17" s="1"/>
  <c r="I184" i="17"/>
  <c r="N184" i="17" s="1" a="1"/>
  <c r="N184" i="17" s="1"/>
  <c r="J184" i="17"/>
  <c r="O184" i="17" s="1"/>
  <c r="K184" i="17"/>
  <c r="L184" i="17"/>
  <c r="M184" i="17" s="1"/>
  <c r="I185" i="17"/>
  <c r="N185" i="17" s="1" a="1"/>
  <c r="N185" i="17" s="1"/>
  <c r="J185" i="17"/>
  <c r="O185" i="17" s="1"/>
  <c r="K185" i="17"/>
  <c r="L185" i="17"/>
  <c r="M185" i="17" s="1"/>
  <c r="I186" i="17"/>
  <c r="N186" i="17" s="1" a="1"/>
  <c r="N186" i="17" s="1"/>
  <c r="J186" i="17"/>
  <c r="O186" i="17" s="1"/>
  <c r="K186" i="17"/>
  <c r="L186" i="17"/>
  <c r="M186" i="17" s="1"/>
  <c r="I187" i="17"/>
  <c r="N187" i="17" s="1" a="1"/>
  <c r="N187" i="17" s="1"/>
  <c r="J187" i="17"/>
  <c r="O187" i="17" s="1"/>
  <c r="K187" i="17"/>
  <c r="L187" i="17"/>
  <c r="M187" i="17" s="1"/>
  <c r="I188" i="17"/>
  <c r="N188" i="17" s="1" a="1"/>
  <c r="N188" i="17" s="1"/>
  <c r="J188" i="17"/>
  <c r="O188" i="17" s="1"/>
  <c r="K188" i="17"/>
  <c r="L188" i="17"/>
  <c r="M188" i="17" s="1"/>
  <c r="I189" i="17"/>
  <c r="N189" i="17" s="1" a="1"/>
  <c r="N189" i="17" s="1"/>
  <c r="J189" i="17"/>
  <c r="O189" i="17" s="1"/>
  <c r="K189" i="17"/>
  <c r="L189" i="17"/>
  <c r="M189" i="17" s="1"/>
  <c r="I190" i="17"/>
  <c r="N190" i="17" s="1" a="1"/>
  <c r="N190" i="17" s="1"/>
  <c r="J190" i="17"/>
  <c r="O190" i="17" s="1"/>
  <c r="K190" i="17"/>
  <c r="L190" i="17"/>
  <c r="M190" i="17" s="1"/>
  <c r="I191" i="17"/>
  <c r="N191" i="17" s="1" a="1"/>
  <c r="N191" i="17" s="1"/>
  <c r="J191" i="17"/>
  <c r="O191" i="17" s="1"/>
  <c r="K191" i="17"/>
  <c r="L191" i="17"/>
  <c r="M191" i="17" s="1"/>
  <c r="I192" i="17"/>
  <c r="N192" i="17" s="1" a="1"/>
  <c r="N192" i="17" s="1"/>
  <c r="J192" i="17"/>
  <c r="O192" i="17" s="1"/>
  <c r="K192" i="17"/>
  <c r="L192" i="17"/>
  <c r="M192" i="17" s="1"/>
  <c r="I193" i="17"/>
  <c r="N193" i="17" s="1" a="1"/>
  <c r="N193" i="17" s="1"/>
  <c r="J193" i="17"/>
  <c r="O193" i="17" s="1"/>
  <c r="K193" i="17"/>
  <c r="L193" i="17"/>
  <c r="M193" i="17" s="1"/>
  <c r="I194" i="17"/>
  <c r="N194" i="17" s="1" a="1"/>
  <c r="N194" i="17" s="1"/>
  <c r="J194" i="17"/>
  <c r="O194" i="17" s="1"/>
  <c r="K194" i="17"/>
  <c r="L194" i="17"/>
  <c r="M194" i="17" s="1"/>
  <c r="I195" i="17"/>
  <c r="N195" i="17" s="1" a="1"/>
  <c r="N195" i="17" s="1"/>
  <c r="J195" i="17"/>
  <c r="O195" i="17" s="1"/>
  <c r="K195" i="17"/>
  <c r="L195" i="17"/>
  <c r="M195" i="17" s="1"/>
  <c r="I196" i="17"/>
  <c r="N196" i="17" s="1" a="1"/>
  <c r="N196" i="17" s="1"/>
  <c r="J196" i="17"/>
  <c r="O196" i="17" s="1"/>
  <c r="K196" i="17"/>
  <c r="L196" i="17"/>
  <c r="M196" i="17" s="1"/>
  <c r="I197" i="17"/>
  <c r="N197" i="17" s="1" a="1"/>
  <c r="N197" i="17" s="1"/>
  <c r="J197" i="17"/>
  <c r="O197" i="17" s="1"/>
  <c r="K197" i="17"/>
  <c r="L197" i="17"/>
  <c r="M197" i="17" s="1"/>
  <c r="I198" i="17"/>
  <c r="N198" i="17" s="1" a="1"/>
  <c r="N198" i="17" s="1"/>
  <c r="J198" i="17"/>
  <c r="O198" i="17" s="1"/>
  <c r="K198" i="17"/>
  <c r="L198" i="17"/>
  <c r="M198" i="17" s="1"/>
  <c r="I199" i="17"/>
  <c r="N199" i="17" s="1" a="1"/>
  <c r="N199" i="17" s="1"/>
  <c r="J199" i="17"/>
  <c r="O199" i="17" s="1"/>
  <c r="K199" i="17"/>
  <c r="L199" i="17"/>
  <c r="M199" i="17" s="1"/>
  <c r="I200" i="17"/>
  <c r="N200" i="17" s="1" a="1"/>
  <c r="N200" i="17" s="1"/>
  <c r="J200" i="17"/>
  <c r="O200" i="17" s="1"/>
  <c r="K200" i="17"/>
  <c r="L200" i="17"/>
  <c r="M200" i="17" s="1"/>
  <c r="I201" i="17"/>
  <c r="N201" i="17" s="1" a="1"/>
  <c r="N201" i="17" s="1"/>
  <c r="J201" i="17"/>
  <c r="O201" i="17" s="1"/>
  <c r="K201" i="17"/>
  <c r="L201" i="17"/>
  <c r="M201" i="17" s="1"/>
  <c r="I202" i="17"/>
  <c r="N202" i="17" s="1" a="1"/>
  <c r="N202" i="17" s="1"/>
  <c r="J202" i="17"/>
  <c r="O202" i="17" s="1"/>
  <c r="K202" i="17"/>
  <c r="L202" i="17"/>
  <c r="M202" i="17" s="1"/>
  <c r="I203" i="17"/>
  <c r="N203" i="17" s="1" a="1"/>
  <c r="N203" i="17" s="1"/>
  <c r="J203" i="17"/>
  <c r="O203" i="17" s="1"/>
  <c r="K203" i="17"/>
  <c r="L203" i="17"/>
  <c r="M203" i="17" s="1"/>
  <c r="I204" i="17"/>
  <c r="N204" i="17" s="1" a="1"/>
  <c r="N204" i="17" s="1"/>
  <c r="J204" i="17"/>
  <c r="O204" i="17" s="1"/>
  <c r="K204" i="17"/>
  <c r="L204" i="17"/>
  <c r="M204" i="17" s="1"/>
  <c r="I205" i="17"/>
  <c r="N205" i="17" s="1" a="1"/>
  <c r="N205" i="17" s="1"/>
  <c r="J205" i="17"/>
  <c r="O205" i="17" s="1"/>
  <c r="K205" i="17"/>
  <c r="L205" i="17"/>
  <c r="M205" i="17" s="1"/>
  <c r="I206" i="17"/>
  <c r="N206" i="17" s="1" a="1"/>
  <c r="N206" i="17" s="1"/>
  <c r="J206" i="17"/>
  <c r="O206" i="17" s="1"/>
  <c r="K206" i="17"/>
  <c r="L206" i="17"/>
  <c r="M206" i="17" s="1"/>
  <c r="I207" i="17"/>
  <c r="N207" i="17" s="1" a="1"/>
  <c r="N207" i="17" s="1"/>
  <c r="J207" i="17"/>
  <c r="O207" i="17" s="1"/>
  <c r="K207" i="17"/>
  <c r="L207" i="17"/>
  <c r="M207" i="17" s="1"/>
  <c r="I208" i="17"/>
  <c r="N208" i="17" s="1" a="1"/>
  <c r="N208" i="17" s="1"/>
  <c r="J208" i="17"/>
  <c r="O208" i="17" s="1"/>
  <c r="K208" i="17"/>
  <c r="L208" i="17"/>
  <c r="M208" i="17" s="1"/>
  <c r="I209" i="17"/>
  <c r="N209" i="17" s="1" a="1"/>
  <c r="N209" i="17" s="1"/>
  <c r="J209" i="17"/>
  <c r="O209" i="17" s="1"/>
  <c r="K209" i="17"/>
  <c r="L209" i="17"/>
  <c r="M209" i="17" s="1"/>
  <c r="I210" i="17"/>
  <c r="N210" i="17" s="1" a="1"/>
  <c r="N210" i="17" s="1"/>
  <c r="J210" i="17"/>
  <c r="O210" i="17" s="1"/>
  <c r="K210" i="17"/>
  <c r="L210" i="17"/>
  <c r="M210" i="17" s="1"/>
  <c r="I211" i="17"/>
  <c r="N211" i="17" s="1" a="1"/>
  <c r="N211" i="17" s="1"/>
  <c r="J211" i="17"/>
  <c r="O211" i="17" s="1"/>
  <c r="K211" i="17"/>
  <c r="L211" i="17"/>
  <c r="M211" i="17" s="1"/>
  <c r="I212" i="17"/>
  <c r="N212" i="17" s="1" a="1"/>
  <c r="N212" i="17" s="1"/>
  <c r="J212" i="17"/>
  <c r="O212" i="17" s="1"/>
  <c r="K212" i="17"/>
  <c r="L212" i="17"/>
  <c r="M212" i="17" s="1"/>
  <c r="I213" i="17"/>
  <c r="N213" i="17" s="1" a="1"/>
  <c r="N213" i="17" s="1"/>
  <c r="J213" i="17"/>
  <c r="O213" i="17" s="1"/>
  <c r="K213" i="17"/>
  <c r="L213" i="17"/>
  <c r="M213" i="17" s="1"/>
  <c r="I214" i="17"/>
  <c r="N214" i="17" s="1" a="1"/>
  <c r="N214" i="17" s="1"/>
  <c r="J214" i="17"/>
  <c r="O214" i="17" s="1"/>
  <c r="K214" i="17"/>
  <c r="L214" i="17"/>
  <c r="M214" i="17" s="1"/>
  <c r="I215" i="17"/>
  <c r="N215" i="17" s="1" a="1"/>
  <c r="N215" i="17" s="1"/>
  <c r="J215" i="17"/>
  <c r="O215" i="17" s="1"/>
  <c r="K215" i="17"/>
  <c r="L215" i="17"/>
  <c r="M215" i="17" s="1"/>
  <c r="I216" i="17"/>
  <c r="N216" i="17" s="1" a="1"/>
  <c r="N216" i="17" s="1"/>
  <c r="J216" i="17"/>
  <c r="O216" i="17" s="1"/>
  <c r="K216" i="17"/>
  <c r="L216" i="17"/>
  <c r="M216" i="17" s="1"/>
  <c r="I217" i="17"/>
  <c r="N217" i="17" s="1" a="1"/>
  <c r="N217" i="17" s="1"/>
  <c r="J217" i="17"/>
  <c r="O217" i="17" s="1"/>
  <c r="K217" i="17"/>
  <c r="L217" i="17"/>
  <c r="M217" i="17" s="1"/>
  <c r="I218" i="17"/>
  <c r="N218" i="17" s="1" a="1"/>
  <c r="N218" i="17" s="1"/>
  <c r="J218" i="17"/>
  <c r="O218" i="17" s="1"/>
  <c r="K218" i="17"/>
  <c r="L218" i="17"/>
  <c r="M218" i="17" s="1"/>
  <c r="I219" i="17"/>
  <c r="N219" i="17" s="1" a="1"/>
  <c r="N219" i="17" s="1"/>
  <c r="J219" i="17"/>
  <c r="O219" i="17" s="1"/>
  <c r="K219" i="17"/>
  <c r="L219" i="17"/>
  <c r="M219" i="17" s="1"/>
  <c r="I220" i="17"/>
  <c r="N220" i="17" s="1" a="1"/>
  <c r="N220" i="17" s="1"/>
  <c r="J220" i="17"/>
  <c r="O220" i="17" s="1"/>
  <c r="K220" i="17"/>
  <c r="L220" i="17"/>
  <c r="M220" i="17" s="1"/>
  <c r="I221" i="17"/>
  <c r="N221" i="17" s="1" a="1"/>
  <c r="N221" i="17" s="1"/>
  <c r="J221" i="17"/>
  <c r="O221" i="17" s="1"/>
  <c r="K221" i="17"/>
  <c r="L221" i="17"/>
  <c r="M221" i="17" s="1"/>
  <c r="I222" i="17"/>
  <c r="N222" i="17" s="1" a="1"/>
  <c r="N222" i="17" s="1"/>
  <c r="J222" i="17"/>
  <c r="O222" i="17" s="1"/>
  <c r="K222" i="17"/>
  <c r="L222" i="17"/>
  <c r="M222" i="17" s="1"/>
  <c r="I223" i="17"/>
  <c r="N223" i="17" s="1" a="1"/>
  <c r="N223" i="17" s="1"/>
  <c r="J223" i="17"/>
  <c r="O223" i="17" s="1"/>
  <c r="K223" i="17"/>
  <c r="L223" i="17"/>
  <c r="M223" i="17" s="1"/>
  <c r="I224" i="17"/>
  <c r="N224" i="17" s="1" a="1"/>
  <c r="N224" i="17" s="1"/>
  <c r="J224" i="17"/>
  <c r="O224" i="17" s="1"/>
  <c r="K224" i="17"/>
  <c r="L224" i="17"/>
  <c r="M224" i="17" s="1"/>
  <c r="I225" i="17"/>
  <c r="N225" i="17" s="1" a="1"/>
  <c r="N225" i="17" s="1"/>
  <c r="J225" i="17"/>
  <c r="O225" i="17" s="1"/>
  <c r="K225" i="17"/>
  <c r="L225" i="17"/>
  <c r="M225" i="17" s="1"/>
  <c r="I226" i="17"/>
  <c r="N226" i="17" s="1" a="1"/>
  <c r="N226" i="17" s="1"/>
  <c r="J226" i="17"/>
  <c r="O226" i="17" s="1"/>
  <c r="K226" i="17"/>
  <c r="L226" i="17"/>
  <c r="M226" i="17" s="1"/>
  <c r="I227" i="17"/>
  <c r="N227" i="17" s="1" a="1"/>
  <c r="N227" i="17" s="1"/>
  <c r="J227" i="17"/>
  <c r="O227" i="17" s="1"/>
  <c r="K227" i="17"/>
  <c r="L227" i="17"/>
  <c r="M227" i="17" s="1"/>
  <c r="I228" i="17"/>
  <c r="N228" i="17" s="1" a="1"/>
  <c r="N228" i="17" s="1"/>
  <c r="J228" i="17"/>
  <c r="O228" i="17" s="1"/>
  <c r="K228" i="17"/>
  <c r="L228" i="17"/>
  <c r="M228" i="17" s="1"/>
  <c r="I229" i="17"/>
  <c r="N229" i="17" s="1" a="1"/>
  <c r="N229" i="17" s="1"/>
  <c r="J229" i="17"/>
  <c r="O229" i="17" s="1"/>
  <c r="K229" i="17"/>
  <c r="L229" i="17"/>
  <c r="M229" i="17" s="1"/>
  <c r="I230" i="17"/>
  <c r="N230" i="17" s="1" a="1"/>
  <c r="N230" i="17" s="1"/>
  <c r="J230" i="17"/>
  <c r="O230" i="17" s="1"/>
  <c r="K230" i="17"/>
  <c r="L230" i="17"/>
  <c r="M230" i="17" s="1"/>
  <c r="I231" i="17"/>
  <c r="N231" i="17" s="1" a="1"/>
  <c r="N231" i="17" s="1"/>
  <c r="J231" i="17"/>
  <c r="O231" i="17" s="1"/>
  <c r="K231" i="17"/>
  <c r="L231" i="17"/>
  <c r="M231" i="17" s="1"/>
  <c r="I232" i="17"/>
  <c r="N232" i="17" s="1" a="1"/>
  <c r="N232" i="17" s="1"/>
  <c r="J232" i="17"/>
  <c r="O232" i="17" s="1"/>
  <c r="K232" i="17"/>
  <c r="L232" i="17"/>
  <c r="M232" i="17" s="1"/>
  <c r="I233" i="17"/>
  <c r="N233" i="17" s="1" a="1"/>
  <c r="N233" i="17" s="1"/>
  <c r="J233" i="17"/>
  <c r="O233" i="17" s="1"/>
  <c r="K233" i="17"/>
  <c r="L233" i="17"/>
  <c r="M233" i="17" s="1"/>
  <c r="I234" i="17"/>
  <c r="N234" i="17" s="1" a="1"/>
  <c r="N234" i="17" s="1"/>
  <c r="J234" i="17"/>
  <c r="O234" i="17" s="1"/>
  <c r="K234" i="17"/>
  <c r="L234" i="17"/>
  <c r="M234" i="17" s="1"/>
  <c r="I235" i="17"/>
  <c r="N235" i="17" s="1" a="1"/>
  <c r="N235" i="17" s="1"/>
  <c r="J235" i="17"/>
  <c r="O235" i="17" s="1"/>
  <c r="K235" i="17"/>
  <c r="L235" i="17"/>
  <c r="M235" i="17" s="1"/>
  <c r="I236" i="17"/>
  <c r="N236" i="17" s="1" a="1"/>
  <c r="N236" i="17" s="1"/>
  <c r="J236" i="17"/>
  <c r="O236" i="17" s="1"/>
  <c r="K236" i="17"/>
  <c r="L236" i="17"/>
  <c r="M236" i="17" s="1"/>
  <c r="I237" i="17"/>
  <c r="N237" i="17" s="1" a="1"/>
  <c r="N237" i="17" s="1"/>
  <c r="J237" i="17"/>
  <c r="O237" i="17" s="1"/>
  <c r="K237" i="17"/>
  <c r="L237" i="17"/>
  <c r="M237" i="17" s="1"/>
  <c r="I238" i="17"/>
  <c r="N238" i="17" s="1" a="1"/>
  <c r="N238" i="17" s="1"/>
  <c r="J238" i="17"/>
  <c r="O238" i="17" s="1"/>
  <c r="K238" i="17"/>
  <c r="L238" i="17"/>
  <c r="M238" i="17" s="1"/>
  <c r="I239" i="17"/>
  <c r="N239" i="17" s="1" a="1"/>
  <c r="N239" i="17" s="1"/>
  <c r="J239" i="17"/>
  <c r="O239" i="17" s="1"/>
  <c r="K239" i="17"/>
  <c r="L239" i="17"/>
  <c r="M239" i="17" s="1"/>
  <c r="I240" i="17"/>
  <c r="N240" i="17" s="1" a="1"/>
  <c r="N240" i="17" s="1"/>
  <c r="J240" i="17"/>
  <c r="O240" i="17" s="1"/>
  <c r="K240" i="17"/>
  <c r="L240" i="17"/>
  <c r="M240" i="17" s="1"/>
  <c r="I241" i="17"/>
  <c r="N241" i="17" s="1" a="1"/>
  <c r="N241" i="17" s="1"/>
  <c r="J241" i="17"/>
  <c r="O241" i="17" s="1"/>
  <c r="K241" i="17"/>
  <c r="L241" i="17"/>
  <c r="M241" i="17" s="1"/>
  <c r="I242" i="17"/>
  <c r="N242" i="17" s="1" a="1"/>
  <c r="N242" i="17" s="1"/>
  <c r="J242" i="17"/>
  <c r="O242" i="17" s="1"/>
  <c r="K242" i="17"/>
  <c r="L242" i="17"/>
  <c r="M242" i="17" s="1"/>
  <c r="I243" i="17"/>
  <c r="N243" i="17" s="1" a="1"/>
  <c r="N243" i="17" s="1"/>
  <c r="J243" i="17"/>
  <c r="O243" i="17" s="1"/>
  <c r="K243" i="17"/>
  <c r="L243" i="17"/>
  <c r="M243" i="17" s="1"/>
  <c r="I244" i="17"/>
  <c r="N244" i="17" s="1" a="1"/>
  <c r="N244" i="17" s="1"/>
  <c r="J244" i="17"/>
  <c r="O244" i="17" s="1"/>
  <c r="K244" i="17"/>
  <c r="L244" i="17"/>
  <c r="M244" i="17" s="1"/>
  <c r="I245" i="17"/>
  <c r="N245" i="17" s="1" a="1"/>
  <c r="N245" i="17" s="1"/>
  <c r="J245" i="17"/>
  <c r="O245" i="17" s="1"/>
  <c r="K245" i="17"/>
  <c r="L245" i="17"/>
  <c r="M245" i="17" s="1"/>
  <c r="I246" i="17"/>
  <c r="N246" i="17" s="1" a="1"/>
  <c r="N246" i="17" s="1"/>
  <c r="J246" i="17"/>
  <c r="O246" i="17" s="1"/>
  <c r="K246" i="17"/>
  <c r="L246" i="17"/>
  <c r="M246" i="17" s="1"/>
  <c r="I247" i="17"/>
  <c r="N247" i="17" s="1" a="1"/>
  <c r="N247" i="17" s="1"/>
  <c r="J247" i="17"/>
  <c r="O247" i="17" s="1"/>
  <c r="K247" i="17"/>
  <c r="L247" i="17"/>
  <c r="M247" i="17" s="1"/>
  <c r="I248" i="17"/>
  <c r="N248" i="17" s="1" a="1"/>
  <c r="N248" i="17" s="1"/>
  <c r="J248" i="17"/>
  <c r="O248" i="17" s="1"/>
  <c r="K248" i="17"/>
  <c r="L248" i="17"/>
  <c r="M248" i="17" s="1"/>
  <c r="I249" i="17"/>
  <c r="N249" i="17" s="1" a="1"/>
  <c r="N249" i="17" s="1"/>
  <c r="J249" i="17"/>
  <c r="O249" i="17" s="1"/>
  <c r="K249" i="17"/>
  <c r="L249" i="17"/>
  <c r="M249" i="17" s="1"/>
  <c r="I250" i="17"/>
  <c r="N250" i="17" s="1" a="1"/>
  <c r="N250" i="17" s="1"/>
  <c r="J250" i="17"/>
  <c r="O250" i="17" s="1"/>
  <c r="K250" i="17"/>
  <c r="L250" i="17"/>
  <c r="M250" i="17" s="1"/>
  <c r="I251" i="17"/>
  <c r="N251" i="17" s="1" a="1"/>
  <c r="N251" i="17" s="1"/>
  <c r="J251" i="17"/>
  <c r="O251" i="17" s="1"/>
  <c r="K251" i="17"/>
  <c r="L251" i="17"/>
  <c r="M251" i="17" s="1"/>
  <c r="I252" i="17"/>
  <c r="N252" i="17" s="1" a="1"/>
  <c r="N252" i="17" s="1"/>
  <c r="J252" i="17"/>
  <c r="O252" i="17" s="1"/>
  <c r="K252" i="17"/>
  <c r="L252" i="17"/>
  <c r="M252" i="17" s="1"/>
  <c r="I253" i="17"/>
  <c r="N253" i="17" s="1" a="1"/>
  <c r="N253" i="17" s="1"/>
  <c r="J253" i="17"/>
  <c r="O253" i="17" s="1"/>
  <c r="K253" i="17"/>
  <c r="L253" i="17"/>
  <c r="M253" i="17" s="1"/>
  <c r="I254" i="17"/>
  <c r="N254" i="17" s="1" a="1"/>
  <c r="N254" i="17" s="1"/>
  <c r="J254" i="17"/>
  <c r="O254" i="17" s="1"/>
  <c r="K254" i="17"/>
  <c r="L254" i="17"/>
  <c r="M254" i="17" s="1"/>
  <c r="I255" i="17"/>
  <c r="N255" i="17" s="1" a="1"/>
  <c r="N255" i="17" s="1"/>
  <c r="J255" i="17"/>
  <c r="O255" i="17" s="1"/>
  <c r="K255" i="17"/>
  <c r="L255" i="17"/>
  <c r="M255" i="17" s="1"/>
  <c r="I256" i="17"/>
  <c r="N256" i="17" s="1" a="1"/>
  <c r="N256" i="17" s="1"/>
  <c r="J256" i="17"/>
  <c r="O256" i="17" s="1"/>
  <c r="K256" i="17"/>
  <c r="L256" i="17"/>
  <c r="M256" i="17" s="1"/>
  <c r="I257" i="17"/>
  <c r="N257" i="17" s="1" a="1"/>
  <c r="N257" i="17" s="1"/>
  <c r="J257" i="17"/>
  <c r="O257" i="17" s="1"/>
  <c r="K257" i="17"/>
  <c r="L257" i="17"/>
  <c r="M257" i="17" s="1"/>
  <c r="I258" i="17"/>
  <c r="N258" i="17" s="1" a="1"/>
  <c r="N258" i="17" s="1"/>
  <c r="J258" i="17"/>
  <c r="O258" i="17" s="1"/>
  <c r="K258" i="17"/>
  <c r="L258" i="17"/>
  <c r="M258" i="17" s="1"/>
  <c r="I259" i="17"/>
  <c r="N259" i="17" s="1" a="1"/>
  <c r="N259" i="17" s="1"/>
  <c r="J259" i="17"/>
  <c r="O259" i="17" s="1"/>
  <c r="K259" i="17"/>
  <c r="L259" i="17"/>
  <c r="M259" i="17" s="1"/>
  <c r="I260" i="17"/>
  <c r="N260" i="17" s="1" a="1"/>
  <c r="N260" i="17" s="1"/>
  <c r="J260" i="17"/>
  <c r="O260" i="17" s="1"/>
  <c r="K260" i="17"/>
  <c r="L260" i="17"/>
  <c r="M260" i="17" s="1"/>
  <c r="I261" i="17"/>
  <c r="N261" i="17" s="1" a="1"/>
  <c r="N261" i="17" s="1"/>
  <c r="J261" i="17"/>
  <c r="O261" i="17" s="1"/>
  <c r="K261" i="17"/>
  <c r="L261" i="17"/>
  <c r="M261" i="17" s="1"/>
  <c r="I262" i="17"/>
  <c r="N262" i="17" s="1" a="1"/>
  <c r="N262" i="17" s="1"/>
  <c r="J262" i="17"/>
  <c r="O262" i="17" s="1"/>
  <c r="K262" i="17"/>
  <c r="L262" i="17"/>
  <c r="M262" i="17" s="1"/>
  <c r="I263" i="17"/>
  <c r="N263" i="17" s="1" a="1"/>
  <c r="N263" i="17" s="1"/>
  <c r="J263" i="17"/>
  <c r="O263" i="17" s="1"/>
  <c r="K263" i="17"/>
  <c r="L263" i="17"/>
  <c r="M263" i="17" s="1"/>
  <c r="I264" i="17"/>
  <c r="N264" i="17" s="1" a="1"/>
  <c r="N264" i="17" s="1"/>
  <c r="J264" i="17"/>
  <c r="O264" i="17" s="1"/>
  <c r="K264" i="17"/>
  <c r="L264" i="17"/>
  <c r="M264" i="17" s="1"/>
  <c r="I265" i="17"/>
  <c r="N265" i="17" s="1" a="1"/>
  <c r="N265" i="17" s="1"/>
  <c r="J265" i="17"/>
  <c r="O265" i="17" s="1"/>
  <c r="K265" i="17"/>
  <c r="L265" i="17"/>
  <c r="M265" i="17" s="1"/>
  <c r="I266" i="17"/>
  <c r="N266" i="17" s="1" a="1"/>
  <c r="N266" i="17" s="1"/>
  <c r="J266" i="17"/>
  <c r="O266" i="17" s="1"/>
  <c r="K266" i="17"/>
  <c r="L266" i="17"/>
  <c r="M266" i="17" s="1"/>
  <c r="I267" i="17"/>
  <c r="N267" i="17" s="1" a="1"/>
  <c r="N267" i="17" s="1"/>
  <c r="J267" i="17"/>
  <c r="O267" i="17" s="1"/>
  <c r="K267" i="17"/>
  <c r="L267" i="17"/>
  <c r="M267" i="17" s="1"/>
  <c r="I268" i="17"/>
  <c r="N268" i="17" s="1" a="1"/>
  <c r="N268" i="17" s="1"/>
  <c r="J268" i="17"/>
  <c r="O268" i="17" s="1"/>
  <c r="K268" i="17"/>
  <c r="L268" i="17"/>
  <c r="M268" i="17" s="1"/>
  <c r="I269" i="17"/>
  <c r="N269" i="17" s="1" a="1"/>
  <c r="N269" i="17" s="1"/>
  <c r="J269" i="17"/>
  <c r="O269" i="17" s="1"/>
  <c r="K269" i="17"/>
  <c r="L269" i="17"/>
  <c r="M269" i="17" s="1"/>
  <c r="I270" i="17"/>
  <c r="N270" i="17" s="1" a="1"/>
  <c r="N270" i="17" s="1"/>
  <c r="J270" i="17"/>
  <c r="O270" i="17" s="1"/>
  <c r="K270" i="17"/>
  <c r="L270" i="17"/>
  <c r="M270" i="17" s="1"/>
  <c r="I271" i="17"/>
  <c r="N271" i="17" s="1" a="1"/>
  <c r="N271" i="17" s="1"/>
  <c r="J271" i="17"/>
  <c r="O271" i="17" s="1"/>
  <c r="K271" i="17"/>
  <c r="L271" i="17"/>
  <c r="M271" i="17" s="1"/>
  <c r="I272" i="17"/>
  <c r="N272" i="17" s="1" a="1"/>
  <c r="N272" i="17" s="1"/>
  <c r="J272" i="17"/>
  <c r="O272" i="17" s="1"/>
  <c r="K272" i="17"/>
  <c r="L272" i="17"/>
  <c r="M272" i="17" s="1"/>
  <c r="I273" i="17"/>
  <c r="N273" i="17" s="1" a="1"/>
  <c r="N273" i="17" s="1"/>
  <c r="J273" i="17"/>
  <c r="O273" i="17" s="1"/>
  <c r="K273" i="17"/>
  <c r="L273" i="17"/>
  <c r="M273" i="17" s="1"/>
  <c r="I274" i="17"/>
  <c r="N274" i="17" s="1" a="1"/>
  <c r="N274" i="17" s="1"/>
  <c r="J274" i="17"/>
  <c r="O274" i="17" s="1"/>
  <c r="K274" i="17"/>
  <c r="L274" i="17"/>
  <c r="M274" i="17" s="1"/>
  <c r="I275" i="17"/>
  <c r="N275" i="17" s="1" a="1"/>
  <c r="N275" i="17" s="1"/>
  <c r="J275" i="17"/>
  <c r="O275" i="17" s="1"/>
  <c r="K275" i="17"/>
  <c r="L275" i="17"/>
  <c r="M275" i="17" s="1"/>
  <c r="I276" i="17"/>
  <c r="N276" i="17" s="1" a="1"/>
  <c r="N276" i="17" s="1"/>
  <c r="J276" i="17"/>
  <c r="O276" i="17" s="1"/>
  <c r="K276" i="17"/>
  <c r="L276" i="17"/>
  <c r="M276" i="17" s="1"/>
  <c r="I277" i="17"/>
  <c r="N277" i="17" s="1" a="1"/>
  <c r="N277" i="17" s="1"/>
  <c r="J277" i="17"/>
  <c r="O277" i="17" s="1"/>
  <c r="K277" i="17"/>
  <c r="L277" i="17"/>
  <c r="M277" i="17" s="1"/>
  <c r="I278" i="17"/>
  <c r="N278" i="17" s="1" a="1"/>
  <c r="N278" i="17" s="1"/>
  <c r="J278" i="17"/>
  <c r="O278" i="17" s="1"/>
  <c r="K278" i="17"/>
  <c r="L278" i="17"/>
  <c r="M278" i="17" s="1"/>
  <c r="I279" i="17"/>
  <c r="N279" i="17" s="1" a="1"/>
  <c r="N279" i="17" s="1"/>
  <c r="J279" i="17"/>
  <c r="O279" i="17" s="1"/>
  <c r="K279" i="17"/>
  <c r="L279" i="17"/>
  <c r="M279" i="17" s="1"/>
  <c r="I280" i="17"/>
  <c r="N280" i="17" s="1" a="1"/>
  <c r="N280" i="17" s="1"/>
  <c r="J280" i="17"/>
  <c r="O280" i="17" s="1"/>
  <c r="K280" i="17"/>
  <c r="L280" i="17"/>
  <c r="M280" i="17" s="1"/>
  <c r="I281" i="17"/>
  <c r="N281" i="17" s="1" a="1"/>
  <c r="N281" i="17" s="1"/>
  <c r="J281" i="17"/>
  <c r="O281" i="17" s="1"/>
  <c r="K281" i="17"/>
  <c r="L281" i="17"/>
  <c r="M281" i="17" s="1"/>
  <c r="I282" i="17"/>
  <c r="N282" i="17" s="1" a="1"/>
  <c r="N282" i="17" s="1"/>
  <c r="J282" i="17"/>
  <c r="O282" i="17" s="1"/>
  <c r="K282" i="17"/>
  <c r="L282" i="17"/>
  <c r="M282" i="17" s="1"/>
  <c r="I283" i="17"/>
  <c r="N283" i="17" s="1" a="1"/>
  <c r="N283" i="17" s="1"/>
  <c r="J283" i="17"/>
  <c r="O283" i="17" s="1"/>
  <c r="K283" i="17"/>
  <c r="L283" i="17"/>
  <c r="M283" i="17" s="1"/>
  <c r="I284" i="17"/>
  <c r="N284" i="17" s="1" a="1"/>
  <c r="N284" i="17" s="1"/>
  <c r="J284" i="17"/>
  <c r="O284" i="17" s="1"/>
  <c r="K284" i="17"/>
  <c r="L284" i="17"/>
  <c r="M284" i="17" s="1"/>
  <c r="I285" i="17"/>
  <c r="N285" i="17" s="1" a="1"/>
  <c r="N285" i="17" s="1"/>
  <c r="J285" i="17"/>
  <c r="O285" i="17" s="1"/>
  <c r="K285" i="17"/>
  <c r="L285" i="17"/>
  <c r="M285" i="17" s="1"/>
  <c r="I286" i="17"/>
  <c r="N286" i="17" s="1" a="1"/>
  <c r="N286" i="17" s="1"/>
  <c r="J286" i="17"/>
  <c r="O286" i="17" s="1"/>
  <c r="K286" i="17"/>
  <c r="L286" i="17"/>
  <c r="M286" i="17" s="1"/>
  <c r="I287" i="17"/>
  <c r="N287" i="17" s="1" a="1"/>
  <c r="N287" i="17" s="1"/>
  <c r="J287" i="17"/>
  <c r="O287" i="17" s="1"/>
  <c r="K287" i="17"/>
  <c r="L287" i="17"/>
  <c r="M287" i="17" s="1"/>
  <c r="I288" i="17"/>
  <c r="N288" i="17" s="1" a="1"/>
  <c r="N288" i="17" s="1"/>
  <c r="J288" i="17"/>
  <c r="O288" i="17" s="1"/>
  <c r="K288" i="17"/>
  <c r="L288" i="17"/>
  <c r="M288" i="17" s="1"/>
  <c r="I289" i="17"/>
  <c r="N289" i="17" s="1" a="1"/>
  <c r="N289" i="17" s="1"/>
  <c r="J289" i="17"/>
  <c r="O289" i="17" s="1"/>
  <c r="K289" i="17"/>
  <c r="L289" i="17"/>
  <c r="M289" i="17" s="1"/>
  <c r="I290" i="17"/>
  <c r="N290" i="17" s="1" a="1"/>
  <c r="N290" i="17" s="1"/>
  <c r="J290" i="17"/>
  <c r="O290" i="17" s="1"/>
  <c r="K290" i="17"/>
  <c r="L290" i="17"/>
  <c r="M290" i="17" s="1"/>
  <c r="I291" i="17"/>
  <c r="N291" i="17" s="1" a="1"/>
  <c r="N291" i="17" s="1"/>
  <c r="J291" i="17"/>
  <c r="O291" i="17" s="1"/>
  <c r="K291" i="17"/>
  <c r="L291" i="17"/>
  <c r="M291" i="17" s="1"/>
  <c r="I292" i="17"/>
  <c r="N292" i="17" s="1" a="1"/>
  <c r="N292" i="17" s="1"/>
  <c r="J292" i="17"/>
  <c r="O292" i="17" s="1"/>
  <c r="K292" i="17"/>
  <c r="L292" i="17"/>
  <c r="M292" i="17" s="1"/>
  <c r="I293" i="17"/>
  <c r="N293" i="17" s="1" a="1"/>
  <c r="N293" i="17" s="1"/>
  <c r="J293" i="17"/>
  <c r="O293" i="17" s="1"/>
  <c r="K293" i="17"/>
  <c r="L293" i="17"/>
  <c r="M293" i="17" s="1"/>
  <c r="I294" i="17"/>
  <c r="N294" i="17" s="1" a="1"/>
  <c r="N294" i="17" s="1"/>
  <c r="J294" i="17"/>
  <c r="O294" i="17" s="1"/>
  <c r="K294" i="17"/>
  <c r="L294" i="17"/>
  <c r="M294" i="17" s="1"/>
  <c r="I295" i="17"/>
  <c r="N295" i="17" s="1" a="1"/>
  <c r="N295" i="17" s="1"/>
  <c r="J295" i="17"/>
  <c r="O295" i="17" s="1"/>
  <c r="K295" i="17"/>
  <c r="L295" i="17"/>
  <c r="M295" i="17" s="1"/>
  <c r="I296" i="17"/>
  <c r="N296" i="17" s="1" a="1"/>
  <c r="N296" i="17" s="1"/>
  <c r="J296" i="17"/>
  <c r="O296" i="17" s="1"/>
  <c r="K296" i="17"/>
  <c r="L296" i="17"/>
  <c r="M296" i="17" s="1"/>
  <c r="I297" i="17"/>
  <c r="N297" i="17" s="1" a="1"/>
  <c r="N297" i="17" s="1"/>
  <c r="J297" i="17"/>
  <c r="O297" i="17" s="1"/>
  <c r="K297" i="17"/>
  <c r="L297" i="17"/>
  <c r="M297" i="17" s="1"/>
  <c r="I298" i="17"/>
  <c r="N298" i="17" s="1" a="1"/>
  <c r="N298" i="17" s="1"/>
  <c r="J298" i="17"/>
  <c r="O298" i="17" s="1"/>
  <c r="K298" i="17"/>
  <c r="L298" i="17"/>
  <c r="M298" i="17" s="1"/>
  <c r="I299" i="17"/>
  <c r="N299" i="17" s="1" a="1"/>
  <c r="N299" i="17" s="1"/>
  <c r="J299" i="17"/>
  <c r="O299" i="17" s="1"/>
  <c r="K299" i="17"/>
  <c r="L299" i="17"/>
  <c r="M299" i="17" s="1"/>
  <c r="I300" i="17"/>
  <c r="N300" i="17" s="1" a="1"/>
  <c r="N300" i="17" s="1"/>
  <c r="J300" i="17"/>
  <c r="O300" i="17" s="1"/>
  <c r="K300" i="17"/>
  <c r="L300" i="17"/>
  <c r="M300" i="17" s="1"/>
  <c r="I301" i="17"/>
  <c r="N301" i="17" s="1" a="1"/>
  <c r="N301" i="17" s="1"/>
  <c r="J301" i="17"/>
  <c r="O301" i="17" s="1"/>
  <c r="K301" i="17"/>
  <c r="L301" i="17"/>
  <c r="M301" i="17" s="1"/>
  <c r="I302" i="17"/>
  <c r="N302" i="17" s="1" a="1"/>
  <c r="N302" i="17" s="1"/>
  <c r="J302" i="17"/>
  <c r="O302" i="17" s="1"/>
  <c r="K302" i="17"/>
  <c r="L302" i="17"/>
  <c r="M302" i="17" s="1"/>
  <c r="I303" i="17"/>
  <c r="N303" i="17" s="1" a="1"/>
  <c r="N303" i="17" s="1"/>
  <c r="J303" i="17"/>
  <c r="O303" i="17" s="1"/>
  <c r="K303" i="17"/>
  <c r="L303" i="17"/>
  <c r="M303" i="17" s="1"/>
  <c r="I304" i="17"/>
  <c r="N304" i="17" s="1" a="1"/>
  <c r="N304" i="17" s="1"/>
  <c r="J304" i="17"/>
  <c r="O304" i="17" s="1"/>
  <c r="K304" i="17"/>
  <c r="L304" i="17"/>
  <c r="M304" i="17" s="1"/>
  <c r="I305" i="17"/>
  <c r="N305" i="17" s="1" a="1"/>
  <c r="N305" i="17" s="1"/>
  <c r="J305" i="17"/>
  <c r="O305" i="17" s="1"/>
  <c r="K305" i="17"/>
  <c r="L305" i="17"/>
  <c r="M305" i="17" s="1"/>
  <c r="I306" i="17"/>
  <c r="N306" i="17" s="1" a="1"/>
  <c r="N306" i="17" s="1"/>
  <c r="J306" i="17"/>
  <c r="O306" i="17" s="1"/>
  <c r="K306" i="17"/>
  <c r="L306" i="17"/>
  <c r="M306" i="17" s="1"/>
  <c r="I307" i="17"/>
  <c r="N307" i="17" s="1" a="1"/>
  <c r="N307" i="17" s="1"/>
  <c r="J307" i="17"/>
  <c r="O307" i="17" s="1"/>
  <c r="K307" i="17"/>
  <c r="L307" i="17"/>
  <c r="M307" i="17" s="1"/>
  <c r="I308" i="17"/>
  <c r="N308" i="17" s="1" a="1"/>
  <c r="N308" i="17" s="1"/>
  <c r="J308" i="17"/>
  <c r="O308" i="17" s="1"/>
  <c r="K308" i="17"/>
  <c r="L308" i="17"/>
  <c r="M308" i="17" s="1"/>
  <c r="I309" i="17"/>
  <c r="N309" i="17" s="1" a="1"/>
  <c r="N309" i="17" s="1"/>
  <c r="J309" i="17"/>
  <c r="O309" i="17" s="1"/>
  <c r="K309" i="17"/>
  <c r="L309" i="17"/>
  <c r="M309" i="17" s="1"/>
  <c r="I310" i="17"/>
  <c r="N310" i="17" s="1" a="1"/>
  <c r="N310" i="17" s="1"/>
  <c r="J310" i="17"/>
  <c r="O310" i="17" s="1"/>
  <c r="K310" i="17"/>
  <c r="L310" i="17"/>
  <c r="M310" i="17" s="1"/>
  <c r="I311" i="17"/>
  <c r="N311" i="17" s="1" a="1"/>
  <c r="N311" i="17" s="1"/>
  <c r="J311" i="17"/>
  <c r="O311" i="17" s="1"/>
  <c r="K311" i="17"/>
  <c r="L311" i="17"/>
  <c r="M311" i="17" s="1"/>
  <c r="I312" i="17"/>
  <c r="N312" i="17" s="1" a="1"/>
  <c r="N312" i="17" s="1"/>
  <c r="J312" i="17"/>
  <c r="O312" i="17" s="1"/>
  <c r="K312" i="17"/>
  <c r="L312" i="17"/>
  <c r="M312" i="17" s="1"/>
  <c r="I313" i="17"/>
  <c r="N313" i="17" s="1" a="1"/>
  <c r="N313" i="17" s="1"/>
  <c r="J313" i="17"/>
  <c r="O313" i="17" s="1"/>
  <c r="K313" i="17"/>
  <c r="L313" i="17"/>
  <c r="M313" i="17" s="1"/>
  <c r="I314" i="17"/>
  <c r="N314" i="17" s="1" a="1"/>
  <c r="N314" i="17" s="1"/>
  <c r="J314" i="17"/>
  <c r="O314" i="17" s="1"/>
  <c r="K314" i="17"/>
  <c r="L314" i="17"/>
  <c r="M314" i="17" s="1"/>
  <c r="I315" i="17"/>
  <c r="N315" i="17" s="1" a="1"/>
  <c r="N315" i="17" s="1"/>
  <c r="J315" i="17"/>
  <c r="O315" i="17" s="1"/>
  <c r="K315" i="17"/>
  <c r="L315" i="17"/>
  <c r="M315" i="17" s="1"/>
  <c r="I316" i="17"/>
  <c r="N316" i="17" s="1" a="1"/>
  <c r="N316" i="17" s="1"/>
  <c r="J316" i="17"/>
  <c r="O316" i="17" s="1"/>
  <c r="K316" i="17"/>
  <c r="L316" i="17"/>
  <c r="M316" i="17" s="1"/>
  <c r="I317" i="17"/>
  <c r="N317" i="17" s="1" a="1"/>
  <c r="N317" i="17" s="1"/>
  <c r="J317" i="17"/>
  <c r="O317" i="17" s="1"/>
  <c r="K317" i="17"/>
  <c r="L317" i="17"/>
  <c r="M317" i="17" s="1"/>
  <c r="I318" i="17"/>
  <c r="N318" i="17" s="1" a="1"/>
  <c r="N318" i="17" s="1"/>
  <c r="J318" i="17"/>
  <c r="O318" i="17" s="1"/>
  <c r="K318" i="17"/>
  <c r="L318" i="17"/>
  <c r="M318" i="17" s="1"/>
  <c r="I319" i="17"/>
  <c r="N319" i="17" s="1" a="1"/>
  <c r="N319" i="17" s="1"/>
  <c r="J319" i="17"/>
  <c r="O319" i="17" s="1"/>
  <c r="K319" i="17"/>
  <c r="L319" i="17"/>
  <c r="M319" i="17" s="1"/>
  <c r="I320" i="17"/>
  <c r="N320" i="17" s="1" a="1"/>
  <c r="N320" i="17" s="1"/>
  <c r="J320" i="17"/>
  <c r="O320" i="17" s="1"/>
  <c r="K320" i="17"/>
  <c r="L320" i="17"/>
  <c r="M320" i="17" s="1"/>
  <c r="I321" i="17"/>
  <c r="N321" i="17" s="1" a="1"/>
  <c r="N321" i="17" s="1"/>
  <c r="J321" i="17"/>
  <c r="O321" i="17" s="1"/>
  <c r="K321" i="17"/>
  <c r="L321" i="17"/>
  <c r="M321" i="17" s="1"/>
  <c r="I322" i="17"/>
  <c r="N322" i="17" s="1" a="1"/>
  <c r="N322" i="17" s="1"/>
  <c r="J322" i="17"/>
  <c r="O322" i="17" s="1"/>
  <c r="K322" i="17"/>
  <c r="L322" i="17"/>
  <c r="M322" i="17" s="1"/>
  <c r="I323" i="17"/>
  <c r="N323" i="17" s="1" a="1"/>
  <c r="N323" i="17" s="1"/>
  <c r="J323" i="17"/>
  <c r="O323" i="17" s="1"/>
  <c r="K323" i="17"/>
  <c r="L323" i="17"/>
  <c r="M323" i="17" s="1"/>
  <c r="I324" i="17"/>
  <c r="N324" i="17" s="1" a="1"/>
  <c r="N324" i="17" s="1"/>
  <c r="J324" i="17"/>
  <c r="O324" i="17" s="1"/>
  <c r="K324" i="17"/>
  <c r="L324" i="17"/>
  <c r="M324" i="17" s="1"/>
  <c r="I325" i="17"/>
  <c r="N325" i="17" s="1" a="1"/>
  <c r="N325" i="17" s="1"/>
  <c r="J325" i="17"/>
  <c r="O325" i="17" s="1"/>
  <c r="K325" i="17"/>
  <c r="L325" i="17"/>
  <c r="M325" i="17" s="1"/>
  <c r="I326" i="17"/>
  <c r="N326" i="17" s="1" a="1"/>
  <c r="N326" i="17" s="1"/>
  <c r="J326" i="17"/>
  <c r="O326" i="17" s="1"/>
  <c r="K326" i="17"/>
  <c r="L326" i="17"/>
  <c r="M326" i="17" s="1"/>
  <c r="I327" i="17"/>
  <c r="N327" i="17" s="1" a="1"/>
  <c r="N327" i="17" s="1"/>
  <c r="J327" i="17"/>
  <c r="O327" i="17" s="1"/>
  <c r="K327" i="17"/>
  <c r="L327" i="17"/>
  <c r="M327" i="17" s="1"/>
  <c r="I328" i="17"/>
  <c r="N328" i="17" s="1" a="1"/>
  <c r="N328" i="17" s="1"/>
  <c r="J328" i="17"/>
  <c r="O328" i="17" s="1"/>
  <c r="K328" i="17"/>
  <c r="L328" i="17"/>
  <c r="M328" i="17" s="1"/>
  <c r="I329" i="17"/>
  <c r="N329" i="17" s="1" a="1"/>
  <c r="N329" i="17" s="1"/>
  <c r="J329" i="17"/>
  <c r="O329" i="17" s="1"/>
  <c r="K329" i="17"/>
  <c r="L329" i="17"/>
  <c r="M329" i="17" s="1"/>
  <c r="I330" i="17"/>
  <c r="N330" i="17" s="1" a="1"/>
  <c r="N330" i="17" s="1"/>
  <c r="J330" i="17"/>
  <c r="O330" i="17" s="1"/>
  <c r="K330" i="17"/>
  <c r="L330" i="17"/>
  <c r="M330" i="17" s="1"/>
  <c r="I331" i="17"/>
  <c r="N331" i="17" s="1" a="1"/>
  <c r="N331" i="17" s="1"/>
  <c r="J331" i="17"/>
  <c r="O331" i="17" s="1"/>
  <c r="K331" i="17"/>
  <c r="L331" i="17"/>
  <c r="M331" i="17" s="1"/>
  <c r="I332" i="17"/>
  <c r="N332" i="17" s="1" a="1"/>
  <c r="N332" i="17" s="1"/>
  <c r="J332" i="17"/>
  <c r="O332" i="17" s="1"/>
  <c r="K332" i="17"/>
  <c r="L332" i="17"/>
  <c r="M332" i="17" s="1"/>
  <c r="I333" i="17"/>
  <c r="N333" i="17" s="1" a="1"/>
  <c r="N333" i="17" s="1"/>
  <c r="J333" i="17"/>
  <c r="O333" i="17" s="1"/>
  <c r="K333" i="17"/>
  <c r="L333" i="17"/>
  <c r="M333" i="17" s="1"/>
  <c r="I334" i="17"/>
  <c r="N334" i="17" s="1" a="1"/>
  <c r="N334" i="17" s="1"/>
  <c r="J334" i="17"/>
  <c r="O334" i="17" s="1"/>
  <c r="K334" i="17"/>
  <c r="L334" i="17"/>
  <c r="M334" i="17" s="1"/>
  <c r="I335" i="17"/>
  <c r="N335" i="17" s="1" a="1"/>
  <c r="N335" i="17" s="1"/>
  <c r="J335" i="17"/>
  <c r="O335" i="17" s="1"/>
  <c r="K335" i="17"/>
  <c r="L335" i="17"/>
  <c r="M335" i="17" s="1"/>
  <c r="I336" i="17"/>
  <c r="N336" i="17" s="1" a="1"/>
  <c r="N336" i="17" s="1"/>
  <c r="J336" i="17"/>
  <c r="O336" i="17" s="1"/>
  <c r="K336" i="17"/>
  <c r="L336" i="17"/>
  <c r="M336" i="17" s="1"/>
  <c r="I337" i="17"/>
  <c r="N337" i="17" s="1" a="1"/>
  <c r="N337" i="17" s="1"/>
  <c r="J337" i="17"/>
  <c r="O337" i="17" s="1"/>
  <c r="K337" i="17"/>
  <c r="L337" i="17"/>
  <c r="M337" i="17" s="1"/>
  <c r="I338" i="17"/>
  <c r="N338" i="17" s="1" a="1"/>
  <c r="N338" i="17" s="1"/>
  <c r="J338" i="17"/>
  <c r="O338" i="17" s="1"/>
  <c r="K338" i="17"/>
  <c r="L338" i="17"/>
  <c r="M338" i="17" s="1"/>
  <c r="I339" i="17"/>
  <c r="N339" i="17" s="1" a="1"/>
  <c r="N339" i="17" s="1"/>
  <c r="J339" i="17"/>
  <c r="O339" i="17" s="1"/>
  <c r="K339" i="17"/>
  <c r="L339" i="17"/>
  <c r="M339" i="17" s="1"/>
  <c r="I340" i="17"/>
  <c r="N340" i="17" s="1" a="1"/>
  <c r="N340" i="17" s="1"/>
  <c r="J340" i="17"/>
  <c r="O340" i="17" s="1"/>
  <c r="K340" i="17"/>
  <c r="L340" i="17"/>
  <c r="M340" i="17" s="1"/>
  <c r="I341" i="17"/>
  <c r="N341" i="17" s="1" a="1"/>
  <c r="N341" i="17" s="1"/>
  <c r="J341" i="17"/>
  <c r="O341" i="17" s="1"/>
  <c r="K341" i="17"/>
  <c r="L341" i="17"/>
  <c r="M341" i="17" s="1"/>
  <c r="I342" i="17"/>
  <c r="N342" i="17" s="1" a="1"/>
  <c r="N342" i="17" s="1"/>
  <c r="J342" i="17"/>
  <c r="O342" i="17" s="1"/>
  <c r="K342" i="17"/>
  <c r="L342" i="17"/>
  <c r="M342" i="17" s="1"/>
  <c r="I343" i="17"/>
  <c r="N343" i="17" s="1" a="1"/>
  <c r="N343" i="17" s="1"/>
  <c r="J343" i="17"/>
  <c r="O343" i="17" s="1"/>
  <c r="K343" i="17"/>
  <c r="L343" i="17"/>
  <c r="M343" i="17" s="1"/>
  <c r="I344" i="17"/>
  <c r="N344" i="17" s="1" a="1"/>
  <c r="N344" i="17" s="1"/>
  <c r="J344" i="17"/>
  <c r="O344" i="17" s="1"/>
  <c r="K344" i="17"/>
  <c r="L344" i="17"/>
  <c r="M344" i="17" s="1"/>
  <c r="I345" i="17"/>
  <c r="N345" i="17" s="1" a="1"/>
  <c r="N345" i="17" s="1"/>
  <c r="J345" i="17"/>
  <c r="O345" i="17" s="1"/>
  <c r="K345" i="17"/>
  <c r="L345" i="17"/>
  <c r="M345" i="17" s="1"/>
  <c r="I346" i="17"/>
  <c r="N346" i="17" s="1" a="1"/>
  <c r="N346" i="17" s="1"/>
  <c r="J346" i="17"/>
  <c r="O346" i="17" s="1"/>
  <c r="K346" i="17"/>
  <c r="L346" i="17"/>
  <c r="M346" i="17" s="1"/>
  <c r="I347" i="17"/>
  <c r="N347" i="17" s="1" a="1"/>
  <c r="N347" i="17" s="1"/>
  <c r="J347" i="17"/>
  <c r="O347" i="17" s="1"/>
  <c r="K347" i="17"/>
  <c r="L347" i="17"/>
  <c r="M347" i="17" s="1"/>
  <c r="I348" i="17"/>
  <c r="N348" i="17" s="1" a="1"/>
  <c r="N348" i="17" s="1"/>
  <c r="J348" i="17"/>
  <c r="O348" i="17" s="1"/>
  <c r="K348" i="17"/>
  <c r="L348" i="17"/>
  <c r="M348" i="17" s="1"/>
  <c r="I349" i="17"/>
  <c r="N349" i="17" s="1" a="1"/>
  <c r="N349" i="17" s="1"/>
  <c r="J349" i="17"/>
  <c r="O349" i="17" s="1"/>
  <c r="K349" i="17"/>
  <c r="L349" i="17"/>
  <c r="M349" i="17" s="1"/>
  <c r="I350" i="17"/>
  <c r="N350" i="17" s="1" a="1"/>
  <c r="N350" i="17" s="1"/>
  <c r="J350" i="17"/>
  <c r="O350" i="17" s="1"/>
  <c r="K350" i="17"/>
  <c r="L350" i="17"/>
  <c r="M350" i="17" s="1"/>
  <c r="I351" i="17"/>
  <c r="N351" i="17" s="1" a="1"/>
  <c r="N351" i="17" s="1"/>
  <c r="J351" i="17"/>
  <c r="O351" i="17" s="1"/>
  <c r="K351" i="17"/>
  <c r="L351" i="17"/>
  <c r="M351" i="17" s="1"/>
  <c r="I352" i="17"/>
  <c r="N352" i="17" s="1" a="1"/>
  <c r="N352" i="17" s="1"/>
  <c r="J352" i="17"/>
  <c r="O352" i="17" s="1"/>
  <c r="K352" i="17"/>
  <c r="L352" i="17"/>
  <c r="M352" i="17" s="1"/>
  <c r="I353" i="17"/>
  <c r="N353" i="17" s="1" a="1"/>
  <c r="N353" i="17" s="1"/>
  <c r="J353" i="17"/>
  <c r="O353" i="17" s="1"/>
  <c r="K353" i="17"/>
  <c r="L353" i="17"/>
  <c r="M353" i="17" s="1"/>
  <c r="I354" i="17"/>
  <c r="N354" i="17" s="1" a="1"/>
  <c r="N354" i="17" s="1"/>
  <c r="J354" i="17"/>
  <c r="O354" i="17" s="1"/>
  <c r="K354" i="17"/>
  <c r="L354" i="17"/>
  <c r="M354" i="17" s="1"/>
  <c r="I355" i="17"/>
  <c r="N355" i="17" s="1" a="1"/>
  <c r="N355" i="17" s="1"/>
  <c r="J355" i="17"/>
  <c r="O355" i="17" s="1"/>
  <c r="K355" i="17"/>
  <c r="L355" i="17"/>
  <c r="M355" i="17" s="1"/>
  <c r="I356" i="17"/>
  <c r="N356" i="17" s="1" a="1"/>
  <c r="N356" i="17" s="1"/>
  <c r="J356" i="17"/>
  <c r="O356" i="17" s="1"/>
  <c r="K356" i="17"/>
  <c r="L356" i="17"/>
  <c r="M356" i="17" s="1"/>
  <c r="I357" i="17"/>
  <c r="N357" i="17" s="1" a="1"/>
  <c r="N357" i="17" s="1"/>
  <c r="J357" i="17"/>
  <c r="O357" i="17" s="1"/>
  <c r="K357" i="17"/>
  <c r="L357" i="17"/>
  <c r="M357" i="17" s="1"/>
  <c r="I358" i="17"/>
  <c r="N358" i="17" s="1" a="1"/>
  <c r="N358" i="17" s="1"/>
  <c r="J358" i="17"/>
  <c r="O358" i="17" s="1"/>
  <c r="K358" i="17"/>
  <c r="L358" i="17"/>
  <c r="M358" i="17" s="1"/>
  <c r="I359" i="17"/>
  <c r="N359" i="17" s="1" a="1"/>
  <c r="N359" i="17" s="1"/>
  <c r="J359" i="17"/>
  <c r="O359" i="17" s="1"/>
  <c r="K359" i="17"/>
  <c r="L359" i="17"/>
  <c r="M359" i="17" s="1"/>
  <c r="I360" i="17"/>
  <c r="N360" i="17" s="1" a="1"/>
  <c r="N360" i="17" s="1"/>
  <c r="J360" i="17"/>
  <c r="O360" i="17" s="1"/>
  <c r="K360" i="17"/>
  <c r="L360" i="17"/>
  <c r="M360" i="17" s="1"/>
  <c r="I361" i="17"/>
  <c r="N361" i="17" s="1" a="1"/>
  <c r="N361" i="17" s="1"/>
  <c r="J361" i="17"/>
  <c r="O361" i="17" s="1"/>
  <c r="K361" i="17"/>
  <c r="L361" i="17"/>
  <c r="M361" i="17" s="1"/>
  <c r="I362" i="17"/>
  <c r="N362" i="17" s="1" a="1"/>
  <c r="N362" i="17" s="1"/>
  <c r="J362" i="17"/>
  <c r="O362" i="17" s="1"/>
  <c r="K362" i="17"/>
  <c r="L362" i="17"/>
  <c r="M362" i="17" s="1"/>
  <c r="I363" i="17"/>
  <c r="N363" i="17" s="1" a="1"/>
  <c r="N363" i="17" s="1"/>
  <c r="J363" i="17"/>
  <c r="O363" i="17" s="1"/>
  <c r="K363" i="17"/>
  <c r="L363" i="17"/>
  <c r="M363" i="17" s="1"/>
  <c r="I364" i="17"/>
  <c r="N364" i="17" s="1" a="1"/>
  <c r="N364" i="17" s="1"/>
  <c r="J364" i="17"/>
  <c r="O364" i="17" s="1"/>
  <c r="K364" i="17"/>
  <c r="L364" i="17"/>
  <c r="M364" i="17" s="1"/>
  <c r="I365" i="17"/>
  <c r="N365" i="17" s="1" a="1"/>
  <c r="N365" i="17" s="1"/>
  <c r="J365" i="17"/>
  <c r="O365" i="17" s="1"/>
  <c r="K365" i="17"/>
  <c r="L365" i="17"/>
  <c r="M365" i="17" s="1"/>
  <c r="I366" i="17"/>
  <c r="N366" i="17" s="1" a="1"/>
  <c r="N366" i="17" s="1"/>
  <c r="J366" i="17"/>
  <c r="O366" i="17" s="1"/>
  <c r="K366" i="17"/>
  <c r="L366" i="17"/>
  <c r="M366" i="17" s="1"/>
  <c r="I367" i="17"/>
  <c r="N367" i="17" s="1" a="1"/>
  <c r="N367" i="17" s="1"/>
  <c r="J367" i="17"/>
  <c r="O367" i="17" s="1"/>
  <c r="K367" i="17"/>
  <c r="L367" i="17"/>
  <c r="M367" i="17" s="1"/>
  <c r="I368" i="17"/>
  <c r="N368" i="17" s="1" a="1"/>
  <c r="N368" i="17" s="1"/>
  <c r="J368" i="17"/>
  <c r="O368" i="17" s="1"/>
  <c r="K368" i="17"/>
  <c r="L368" i="17"/>
  <c r="M368" i="17" s="1"/>
  <c r="I369" i="17"/>
  <c r="N369" i="17" s="1" a="1"/>
  <c r="N369" i="17" s="1"/>
  <c r="J369" i="17"/>
  <c r="O369" i="17" s="1"/>
  <c r="K369" i="17"/>
  <c r="L369" i="17"/>
  <c r="M369" i="17" s="1"/>
  <c r="I370" i="17"/>
  <c r="N370" i="17" s="1" a="1"/>
  <c r="N370" i="17" s="1"/>
  <c r="J370" i="17"/>
  <c r="O370" i="17" s="1"/>
  <c r="K370" i="17"/>
  <c r="L370" i="17"/>
  <c r="M370" i="17" s="1"/>
  <c r="I371" i="17"/>
  <c r="N371" i="17" s="1" a="1"/>
  <c r="N371" i="17" s="1"/>
  <c r="J371" i="17"/>
  <c r="O371" i="17" s="1"/>
  <c r="K371" i="17"/>
  <c r="L371" i="17"/>
  <c r="M371" i="17" s="1"/>
  <c r="I372" i="17"/>
  <c r="N372" i="17" s="1" a="1"/>
  <c r="N372" i="17" s="1"/>
  <c r="J372" i="17"/>
  <c r="O372" i="17" s="1"/>
  <c r="K372" i="17"/>
  <c r="L372" i="17"/>
  <c r="M372" i="17" s="1"/>
  <c r="I373" i="17"/>
  <c r="N373" i="17" s="1" a="1"/>
  <c r="N373" i="17" s="1"/>
  <c r="J373" i="17"/>
  <c r="O373" i="17" s="1"/>
  <c r="K373" i="17"/>
  <c r="L373" i="17"/>
  <c r="M373" i="17" s="1"/>
  <c r="I374" i="17"/>
  <c r="N374" i="17" s="1" a="1"/>
  <c r="N374" i="17" s="1"/>
  <c r="J374" i="17"/>
  <c r="O374" i="17" s="1"/>
  <c r="K374" i="17"/>
  <c r="L374" i="17"/>
  <c r="M374" i="17" s="1"/>
  <c r="I375" i="17"/>
  <c r="N375" i="17" s="1" a="1"/>
  <c r="N375" i="17" s="1"/>
  <c r="J375" i="17"/>
  <c r="O375" i="17" s="1"/>
  <c r="K375" i="17"/>
  <c r="L375" i="17"/>
  <c r="M375" i="17" s="1"/>
  <c r="I376" i="17"/>
  <c r="N376" i="17" s="1" a="1"/>
  <c r="N376" i="17" s="1"/>
  <c r="J376" i="17"/>
  <c r="O376" i="17" s="1"/>
  <c r="K376" i="17"/>
  <c r="L376" i="17"/>
  <c r="M376" i="17" s="1"/>
  <c r="I377" i="17"/>
  <c r="N377" i="17" s="1" a="1"/>
  <c r="N377" i="17" s="1"/>
  <c r="J377" i="17"/>
  <c r="O377" i="17" s="1"/>
  <c r="K377" i="17"/>
  <c r="L377" i="17"/>
  <c r="M377" i="17" s="1"/>
  <c r="I378" i="17"/>
  <c r="N378" i="17" s="1" a="1"/>
  <c r="N378" i="17" s="1"/>
  <c r="J378" i="17"/>
  <c r="O378" i="17" s="1"/>
  <c r="K378" i="17"/>
  <c r="L378" i="17"/>
  <c r="M378" i="17" s="1"/>
  <c r="I379" i="17"/>
  <c r="N379" i="17" s="1" a="1"/>
  <c r="N379" i="17" s="1"/>
  <c r="J379" i="17"/>
  <c r="O379" i="17" s="1"/>
  <c r="K379" i="17"/>
  <c r="L379" i="17"/>
  <c r="M379" i="17" s="1"/>
  <c r="I380" i="17"/>
  <c r="N380" i="17" s="1" a="1"/>
  <c r="N380" i="17" s="1"/>
  <c r="J380" i="17"/>
  <c r="O380" i="17" s="1"/>
  <c r="K380" i="17"/>
  <c r="L380" i="17"/>
  <c r="M380" i="17" s="1"/>
  <c r="I381" i="17"/>
  <c r="N381" i="17" s="1" a="1"/>
  <c r="N381" i="17" s="1"/>
  <c r="J381" i="17"/>
  <c r="O381" i="17" s="1"/>
  <c r="K381" i="17"/>
  <c r="L381" i="17"/>
  <c r="M381" i="17" s="1"/>
  <c r="I382" i="17"/>
  <c r="N382" i="17" s="1" a="1"/>
  <c r="N382" i="17" s="1"/>
  <c r="J382" i="17"/>
  <c r="O382" i="17" s="1"/>
  <c r="K382" i="17"/>
  <c r="L382" i="17"/>
  <c r="M382" i="17" s="1"/>
  <c r="I383" i="17"/>
  <c r="N383" i="17" s="1" a="1"/>
  <c r="N383" i="17" s="1"/>
  <c r="J383" i="17"/>
  <c r="O383" i="17" s="1"/>
  <c r="K383" i="17"/>
  <c r="L383" i="17"/>
  <c r="M383" i="17" s="1"/>
  <c r="I384" i="17"/>
  <c r="N384" i="17" s="1" a="1"/>
  <c r="N384" i="17" s="1"/>
  <c r="J384" i="17"/>
  <c r="O384" i="17" s="1"/>
  <c r="K384" i="17"/>
  <c r="L384" i="17"/>
  <c r="M384" i="17" s="1"/>
  <c r="I385" i="17"/>
  <c r="N385" i="17" s="1" a="1"/>
  <c r="N385" i="17" s="1"/>
  <c r="J385" i="17"/>
  <c r="O385" i="17" s="1"/>
  <c r="K385" i="17"/>
  <c r="L385" i="17"/>
  <c r="M385" i="17" s="1"/>
  <c r="I386" i="17"/>
  <c r="N386" i="17" s="1" a="1"/>
  <c r="N386" i="17" s="1"/>
  <c r="J386" i="17"/>
  <c r="O386" i="17" s="1"/>
  <c r="K386" i="17"/>
  <c r="L386" i="17"/>
  <c r="M386" i="17" s="1"/>
  <c r="I387" i="17"/>
  <c r="N387" i="17" s="1" a="1"/>
  <c r="N387" i="17" s="1"/>
  <c r="J387" i="17"/>
  <c r="O387" i="17" s="1"/>
  <c r="K387" i="17"/>
  <c r="L387" i="17"/>
  <c r="M387" i="17" s="1"/>
  <c r="I388" i="17"/>
  <c r="N388" i="17" s="1" a="1"/>
  <c r="N388" i="17" s="1"/>
  <c r="J388" i="17"/>
  <c r="O388" i="17" s="1"/>
  <c r="K388" i="17"/>
  <c r="L388" i="17"/>
  <c r="M388" i="17" s="1"/>
  <c r="I389" i="17"/>
  <c r="N389" i="17" s="1" a="1"/>
  <c r="N389" i="17" s="1"/>
  <c r="J389" i="17"/>
  <c r="O389" i="17" s="1"/>
  <c r="K389" i="17"/>
  <c r="L389" i="17"/>
  <c r="M389" i="17" s="1"/>
  <c r="I390" i="17"/>
  <c r="N390" i="17" s="1" a="1"/>
  <c r="N390" i="17" s="1"/>
  <c r="J390" i="17"/>
  <c r="O390" i="17" s="1"/>
  <c r="K390" i="17"/>
  <c r="L390" i="17"/>
  <c r="M390" i="17" s="1"/>
  <c r="I391" i="17"/>
  <c r="N391" i="17" s="1" a="1"/>
  <c r="N391" i="17" s="1"/>
  <c r="J391" i="17"/>
  <c r="O391" i="17" s="1"/>
  <c r="K391" i="17"/>
  <c r="L391" i="17"/>
  <c r="M391" i="17" s="1"/>
  <c r="I392" i="17"/>
  <c r="N392" i="17" s="1" a="1"/>
  <c r="N392" i="17" s="1"/>
  <c r="J392" i="17"/>
  <c r="O392" i="17" s="1"/>
  <c r="K392" i="17"/>
  <c r="L392" i="17"/>
  <c r="M392" i="17" s="1"/>
  <c r="I393" i="17"/>
  <c r="N393" i="17" s="1" a="1"/>
  <c r="N393" i="17" s="1"/>
  <c r="J393" i="17"/>
  <c r="O393" i="17" s="1"/>
  <c r="K393" i="17"/>
  <c r="L393" i="17"/>
  <c r="M393" i="17" s="1"/>
  <c r="I394" i="17"/>
  <c r="N394" i="17" s="1" a="1"/>
  <c r="N394" i="17" s="1"/>
  <c r="J394" i="17"/>
  <c r="O394" i="17" s="1"/>
  <c r="K394" i="17"/>
  <c r="L394" i="17"/>
  <c r="M394" i="17" s="1"/>
  <c r="I395" i="17"/>
  <c r="N395" i="17" s="1" a="1"/>
  <c r="N395" i="17" s="1"/>
  <c r="J395" i="17"/>
  <c r="O395" i="17" s="1"/>
  <c r="K395" i="17"/>
  <c r="L395" i="17"/>
  <c r="M395" i="17" s="1"/>
  <c r="I396" i="17"/>
  <c r="N396" i="17" s="1" a="1"/>
  <c r="N396" i="17" s="1"/>
  <c r="J396" i="17"/>
  <c r="O396" i="17" s="1"/>
  <c r="K396" i="17"/>
  <c r="L396" i="17"/>
  <c r="M396" i="17" s="1"/>
  <c r="I397" i="17"/>
  <c r="N397" i="17" s="1" a="1"/>
  <c r="N397" i="17" s="1"/>
  <c r="J397" i="17"/>
  <c r="O397" i="17" s="1"/>
  <c r="K397" i="17"/>
  <c r="L397" i="17"/>
  <c r="M397" i="17" s="1"/>
  <c r="I398" i="17"/>
  <c r="N398" i="17" s="1" a="1"/>
  <c r="N398" i="17" s="1"/>
  <c r="J398" i="17"/>
  <c r="O398" i="17" s="1"/>
  <c r="K398" i="17"/>
  <c r="L398" i="17"/>
  <c r="M398" i="17" s="1"/>
  <c r="I399" i="17"/>
  <c r="N399" i="17" s="1" a="1"/>
  <c r="N399" i="17" s="1"/>
  <c r="J399" i="17"/>
  <c r="O399" i="17" s="1"/>
  <c r="K399" i="17"/>
  <c r="L399" i="17"/>
  <c r="M399" i="17" s="1"/>
  <c r="I400" i="17"/>
  <c r="N400" i="17" s="1" a="1"/>
  <c r="N400" i="17" s="1"/>
  <c r="J400" i="17"/>
  <c r="O400" i="17" s="1"/>
  <c r="K400" i="17"/>
  <c r="L400" i="17"/>
  <c r="M400" i="17" s="1"/>
  <c r="I401" i="17"/>
  <c r="N401" i="17" s="1" a="1"/>
  <c r="N401" i="17" s="1"/>
  <c r="J401" i="17"/>
  <c r="O401" i="17" s="1"/>
  <c r="K401" i="17"/>
  <c r="L401" i="17"/>
  <c r="M401" i="17" s="1"/>
  <c r="I402" i="17"/>
  <c r="N402" i="17" s="1" a="1"/>
  <c r="N402" i="17" s="1"/>
  <c r="J402" i="17"/>
  <c r="O402" i="17" s="1"/>
  <c r="K402" i="17"/>
  <c r="L402" i="17"/>
  <c r="M402" i="17" s="1"/>
  <c r="I403" i="17"/>
  <c r="N403" i="17" s="1" a="1"/>
  <c r="N403" i="17" s="1"/>
  <c r="J403" i="17"/>
  <c r="O403" i="17" s="1"/>
  <c r="K403" i="17"/>
  <c r="L403" i="17"/>
  <c r="M403" i="17" s="1"/>
  <c r="I404" i="17"/>
  <c r="N404" i="17" s="1" a="1"/>
  <c r="N404" i="17" s="1"/>
  <c r="J404" i="17"/>
  <c r="O404" i="17" s="1"/>
  <c r="K404" i="17"/>
  <c r="L404" i="17"/>
  <c r="M404" i="17" s="1"/>
  <c r="I405" i="17"/>
  <c r="N405" i="17" s="1" a="1"/>
  <c r="N405" i="17" s="1"/>
  <c r="J405" i="17"/>
  <c r="O405" i="17" s="1"/>
  <c r="K405" i="17"/>
  <c r="L405" i="17"/>
  <c r="M405" i="17" s="1"/>
  <c r="I406" i="17"/>
  <c r="N406" i="17" s="1" a="1"/>
  <c r="N406" i="17" s="1"/>
  <c r="J406" i="17"/>
  <c r="O406" i="17" s="1"/>
  <c r="K406" i="17"/>
  <c r="L406" i="17"/>
  <c r="M406" i="17" s="1"/>
  <c r="I407" i="17"/>
  <c r="N407" i="17" s="1" a="1"/>
  <c r="N407" i="17" s="1"/>
  <c r="J407" i="17"/>
  <c r="O407" i="17" s="1"/>
  <c r="K407" i="17"/>
  <c r="L407" i="17"/>
  <c r="M407" i="17" s="1"/>
  <c r="I408" i="17"/>
  <c r="N408" i="17" s="1" a="1"/>
  <c r="N408" i="17" s="1"/>
  <c r="J408" i="17"/>
  <c r="O408" i="17" s="1"/>
  <c r="K408" i="17"/>
  <c r="L408" i="17"/>
  <c r="M408" i="17" s="1"/>
  <c r="I409" i="17"/>
  <c r="N409" i="17" s="1" a="1"/>
  <c r="N409" i="17" s="1"/>
  <c r="J409" i="17"/>
  <c r="O409" i="17" s="1"/>
  <c r="K409" i="17"/>
  <c r="L409" i="17"/>
  <c r="M409" i="17" s="1"/>
  <c r="I410" i="17"/>
  <c r="N410" i="17" s="1" a="1"/>
  <c r="N410" i="17" s="1"/>
  <c r="J410" i="17"/>
  <c r="O410" i="17" s="1"/>
  <c r="K410" i="17"/>
  <c r="L410" i="17"/>
  <c r="M410" i="17" s="1"/>
  <c r="I411" i="17"/>
  <c r="N411" i="17" s="1" a="1"/>
  <c r="N411" i="17" s="1"/>
  <c r="J411" i="17"/>
  <c r="O411" i="17" s="1"/>
  <c r="K411" i="17"/>
  <c r="L411" i="17"/>
  <c r="M411" i="17" s="1"/>
  <c r="I412" i="17"/>
  <c r="N412" i="17" s="1" a="1"/>
  <c r="N412" i="17" s="1"/>
  <c r="J412" i="17"/>
  <c r="O412" i="17" s="1"/>
  <c r="K412" i="17"/>
  <c r="L412" i="17"/>
  <c r="M412" i="17" s="1"/>
  <c r="I413" i="17"/>
  <c r="N413" i="17" s="1" a="1"/>
  <c r="N413" i="17" s="1"/>
  <c r="J413" i="17"/>
  <c r="O413" i="17" s="1"/>
  <c r="K413" i="17"/>
  <c r="L413" i="17"/>
  <c r="M413" i="17" s="1"/>
  <c r="I414" i="17"/>
  <c r="N414" i="17" s="1" a="1"/>
  <c r="N414" i="17" s="1"/>
  <c r="J414" i="17"/>
  <c r="O414" i="17" s="1"/>
  <c r="K414" i="17"/>
  <c r="L414" i="17"/>
  <c r="M414" i="17" s="1"/>
  <c r="I415" i="17"/>
  <c r="N415" i="17" s="1" a="1"/>
  <c r="N415" i="17" s="1"/>
  <c r="J415" i="17"/>
  <c r="O415" i="17" s="1"/>
  <c r="K415" i="17"/>
  <c r="L415" i="17"/>
  <c r="M415" i="17" s="1"/>
  <c r="I416" i="17"/>
  <c r="N416" i="17" s="1" a="1"/>
  <c r="N416" i="17" s="1"/>
  <c r="J416" i="17"/>
  <c r="O416" i="17" s="1"/>
  <c r="K416" i="17"/>
  <c r="L416" i="17"/>
  <c r="M416" i="17" s="1"/>
  <c r="I417" i="17"/>
  <c r="N417" i="17" s="1" a="1"/>
  <c r="N417" i="17" s="1"/>
  <c r="J417" i="17"/>
  <c r="O417" i="17" s="1"/>
  <c r="K417" i="17"/>
  <c r="L417" i="17"/>
  <c r="M417" i="17" s="1"/>
  <c r="I418" i="17"/>
  <c r="N418" i="17" s="1" a="1"/>
  <c r="N418" i="17" s="1"/>
  <c r="J418" i="17"/>
  <c r="O418" i="17" s="1"/>
  <c r="K418" i="17"/>
  <c r="L418" i="17"/>
  <c r="M418" i="17" s="1"/>
  <c r="I419" i="17"/>
  <c r="N419" i="17" s="1" a="1"/>
  <c r="N419" i="17" s="1"/>
  <c r="J419" i="17"/>
  <c r="O419" i="17" s="1"/>
  <c r="K419" i="17"/>
  <c r="L419" i="17"/>
  <c r="M419" i="17" s="1"/>
  <c r="I420" i="17"/>
  <c r="N420" i="17" s="1" a="1"/>
  <c r="N420" i="17" s="1"/>
  <c r="J420" i="17"/>
  <c r="O420" i="17" s="1"/>
  <c r="K420" i="17"/>
  <c r="L420" i="17"/>
  <c r="M420" i="17" s="1"/>
  <c r="I421" i="17"/>
  <c r="N421" i="17" s="1" a="1"/>
  <c r="N421" i="17" s="1"/>
  <c r="J421" i="17"/>
  <c r="O421" i="17" s="1"/>
  <c r="K421" i="17"/>
  <c r="L421" i="17"/>
  <c r="M421" i="17" s="1"/>
  <c r="I422" i="17"/>
  <c r="N422" i="17" s="1" a="1"/>
  <c r="N422" i="17" s="1"/>
  <c r="J422" i="17"/>
  <c r="O422" i="17" s="1"/>
  <c r="K422" i="17"/>
  <c r="L422" i="17"/>
  <c r="M422" i="17" s="1"/>
  <c r="I423" i="17"/>
  <c r="N423" i="17" s="1" a="1"/>
  <c r="N423" i="17" s="1"/>
  <c r="J423" i="17"/>
  <c r="O423" i="17" s="1"/>
  <c r="K423" i="17"/>
  <c r="L423" i="17"/>
  <c r="M423" i="17" s="1"/>
  <c r="I424" i="17"/>
  <c r="N424" i="17" s="1" a="1"/>
  <c r="N424" i="17" s="1"/>
  <c r="J424" i="17"/>
  <c r="O424" i="17" s="1"/>
  <c r="K424" i="17"/>
  <c r="L424" i="17"/>
  <c r="M424" i="17" s="1"/>
  <c r="I425" i="17"/>
  <c r="N425" i="17" s="1" a="1"/>
  <c r="N425" i="17" s="1"/>
  <c r="J425" i="17"/>
  <c r="O425" i="17" s="1"/>
  <c r="K425" i="17"/>
  <c r="L425" i="17"/>
  <c r="M425" i="17" s="1"/>
  <c r="I426" i="17"/>
  <c r="N426" i="17" s="1" a="1"/>
  <c r="N426" i="17" s="1"/>
  <c r="J426" i="17"/>
  <c r="O426" i="17" s="1"/>
  <c r="K426" i="17"/>
  <c r="L426" i="17"/>
  <c r="M426" i="17" s="1"/>
  <c r="I427" i="17"/>
  <c r="N427" i="17" s="1" a="1"/>
  <c r="N427" i="17" s="1"/>
  <c r="J427" i="17"/>
  <c r="O427" i="17" s="1"/>
  <c r="K427" i="17"/>
  <c r="L427" i="17"/>
  <c r="M427" i="17" s="1"/>
  <c r="I428" i="17"/>
  <c r="N428" i="17" s="1" a="1"/>
  <c r="N428" i="17" s="1"/>
  <c r="J428" i="17"/>
  <c r="O428" i="17" s="1"/>
  <c r="K428" i="17"/>
  <c r="L428" i="17"/>
  <c r="M428" i="17" s="1"/>
  <c r="I429" i="17"/>
  <c r="N429" i="17" s="1" a="1"/>
  <c r="N429" i="17" s="1"/>
  <c r="J429" i="17"/>
  <c r="O429" i="17" s="1"/>
  <c r="K429" i="17"/>
  <c r="L429" i="17"/>
  <c r="M429" i="17" s="1"/>
  <c r="I430" i="17"/>
  <c r="N430" i="17" s="1" a="1"/>
  <c r="N430" i="17" s="1"/>
  <c r="J430" i="17"/>
  <c r="O430" i="17" s="1"/>
  <c r="K430" i="17"/>
  <c r="L430" i="17"/>
  <c r="M430" i="17" s="1"/>
  <c r="I431" i="17"/>
  <c r="N431" i="17" s="1" a="1"/>
  <c r="N431" i="17" s="1"/>
  <c r="J431" i="17"/>
  <c r="O431" i="17" s="1"/>
  <c r="K431" i="17"/>
  <c r="L431" i="17"/>
  <c r="M431" i="17" s="1"/>
  <c r="I432" i="17"/>
  <c r="N432" i="17" s="1" a="1"/>
  <c r="N432" i="17" s="1"/>
  <c r="J432" i="17"/>
  <c r="O432" i="17" s="1"/>
  <c r="K432" i="17"/>
  <c r="L432" i="17"/>
  <c r="M432" i="17" s="1"/>
  <c r="I433" i="17"/>
  <c r="N433" i="17" s="1" a="1"/>
  <c r="N433" i="17" s="1"/>
  <c r="J433" i="17"/>
  <c r="O433" i="17" s="1"/>
  <c r="K433" i="17"/>
  <c r="L433" i="17"/>
  <c r="M433" i="17" s="1"/>
  <c r="I434" i="17"/>
  <c r="N434" i="17" s="1" a="1"/>
  <c r="N434" i="17" s="1"/>
  <c r="J434" i="17"/>
  <c r="O434" i="17" s="1"/>
  <c r="K434" i="17"/>
  <c r="L434" i="17"/>
  <c r="M434" i="17" s="1"/>
  <c r="I435" i="17"/>
  <c r="N435" i="17" s="1" a="1"/>
  <c r="N435" i="17" s="1"/>
  <c r="J435" i="17"/>
  <c r="O435" i="17" s="1"/>
  <c r="K435" i="17"/>
  <c r="L435" i="17"/>
  <c r="M435" i="17" s="1"/>
  <c r="I436" i="17"/>
  <c r="N436" i="17" s="1" a="1"/>
  <c r="N436" i="17" s="1"/>
  <c r="J436" i="17"/>
  <c r="O436" i="17" s="1"/>
  <c r="K436" i="17"/>
  <c r="L436" i="17"/>
  <c r="M436" i="17" s="1"/>
  <c r="I437" i="17"/>
  <c r="N437" i="17" s="1" a="1"/>
  <c r="N437" i="17" s="1"/>
  <c r="J437" i="17"/>
  <c r="O437" i="17" s="1"/>
  <c r="K437" i="17"/>
  <c r="L437" i="17"/>
  <c r="M437" i="17" s="1"/>
  <c r="I438" i="17"/>
  <c r="N438" i="17" s="1" a="1"/>
  <c r="N438" i="17" s="1"/>
  <c r="J438" i="17"/>
  <c r="O438" i="17" s="1"/>
  <c r="K438" i="17"/>
  <c r="L438" i="17"/>
  <c r="M438" i="17" s="1"/>
  <c r="I439" i="17"/>
  <c r="N439" i="17" s="1" a="1"/>
  <c r="N439" i="17" s="1"/>
  <c r="J439" i="17"/>
  <c r="O439" i="17" s="1"/>
  <c r="K439" i="17"/>
  <c r="L439" i="17"/>
  <c r="M439" i="17" s="1"/>
  <c r="I440" i="17"/>
  <c r="N440" i="17" s="1" a="1"/>
  <c r="N440" i="17" s="1"/>
  <c r="J440" i="17"/>
  <c r="O440" i="17" s="1"/>
  <c r="K440" i="17"/>
  <c r="L440" i="17"/>
  <c r="M440" i="17" s="1"/>
  <c r="I441" i="17"/>
  <c r="N441" i="17" s="1" a="1"/>
  <c r="N441" i="17" s="1"/>
  <c r="J441" i="17"/>
  <c r="O441" i="17" s="1"/>
  <c r="K441" i="17"/>
  <c r="L441" i="17"/>
  <c r="M441" i="17" s="1"/>
  <c r="I442" i="17"/>
  <c r="N442" i="17" s="1" a="1"/>
  <c r="N442" i="17" s="1"/>
  <c r="J442" i="17"/>
  <c r="O442" i="17" s="1"/>
  <c r="K442" i="17"/>
  <c r="L442" i="17"/>
  <c r="M442" i="17" s="1"/>
  <c r="I443" i="17"/>
  <c r="N443" i="17" s="1" a="1"/>
  <c r="N443" i="17" s="1"/>
  <c r="J443" i="17"/>
  <c r="O443" i="17" s="1"/>
  <c r="K443" i="17"/>
  <c r="L443" i="17"/>
  <c r="M443" i="17" s="1"/>
  <c r="I444" i="17"/>
  <c r="N444" i="17" s="1" a="1"/>
  <c r="N444" i="17" s="1"/>
  <c r="J444" i="17"/>
  <c r="O444" i="17" s="1"/>
  <c r="K444" i="17"/>
  <c r="L444" i="17"/>
  <c r="M444" i="17" s="1"/>
  <c r="I445" i="17"/>
  <c r="N445" i="17" s="1" a="1"/>
  <c r="N445" i="17" s="1"/>
  <c r="J445" i="17"/>
  <c r="O445" i="17" s="1"/>
  <c r="K445" i="17"/>
  <c r="L445" i="17"/>
  <c r="M445" i="17" s="1"/>
  <c r="I446" i="17"/>
  <c r="N446" i="17" s="1" a="1"/>
  <c r="N446" i="17" s="1"/>
  <c r="J446" i="17"/>
  <c r="O446" i="17" s="1"/>
  <c r="K446" i="17"/>
  <c r="L446" i="17"/>
  <c r="M446" i="17" s="1"/>
  <c r="I447" i="17"/>
  <c r="N447" i="17" s="1" a="1"/>
  <c r="N447" i="17" s="1"/>
  <c r="J447" i="17"/>
  <c r="O447" i="17" s="1"/>
  <c r="K447" i="17"/>
  <c r="L447" i="17"/>
  <c r="M447" i="17" s="1"/>
  <c r="I448" i="17"/>
  <c r="N448" i="17" s="1" a="1"/>
  <c r="N448" i="17" s="1"/>
  <c r="J448" i="17"/>
  <c r="O448" i="17" s="1"/>
  <c r="K448" i="17"/>
  <c r="L448" i="17"/>
  <c r="M448" i="17" s="1"/>
  <c r="I449" i="17"/>
  <c r="N449" i="17" s="1" a="1"/>
  <c r="N449" i="17" s="1"/>
  <c r="J449" i="17"/>
  <c r="O449" i="17" s="1"/>
  <c r="K449" i="17"/>
  <c r="L449" i="17"/>
  <c r="M449" i="17" s="1"/>
  <c r="I450" i="17"/>
  <c r="N450" i="17" s="1" a="1"/>
  <c r="N450" i="17" s="1"/>
  <c r="J450" i="17"/>
  <c r="O450" i="17" s="1"/>
  <c r="K450" i="17"/>
  <c r="L450" i="17"/>
  <c r="M450" i="17" s="1"/>
  <c r="I451" i="17"/>
  <c r="N451" i="17" s="1" a="1"/>
  <c r="N451" i="17" s="1"/>
  <c r="J451" i="17"/>
  <c r="O451" i="17" s="1"/>
  <c r="K451" i="17"/>
  <c r="L451" i="17"/>
  <c r="M451" i="17" s="1"/>
  <c r="I452" i="17"/>
  <c r="N452" i="17" s="1" a="1"/>
  <c r="N452" i="17" s="1"/>
  <c r="J452" i="17"/>
  <c r="O452" i="17" s="1"/>
  <c r="K452" i="17"/>
  <c r="L452" i="17"/>
  <c r="M452" i="17" s="1"/>
  <c r="I453" i="17"/>
  <c r="N453" i="17" s="1" a="1"/>
  <c r="N453" i="17" s="1"/>
  <c r="J453" i="17"/>
  <c r="O453" i="17" s="1"/>
  <c r="K453" i="17"/>
  <c r="L453" i="17"/>
  <c r="M453" i="17" s="1"/>
  <c r="I454" i="17"/>
  <c r="N454" i="17" s="1" a="1"/>
  <c r="N454" i="17" s="1"/>
  <c r="J454" i="17"/>
  <c r="O454" i="17" s="1"/>
  <c r="K454" i="17"/>
  <c r="L454" i="17"/>
  <c r="M454" i="17" s="1"/>
  <c r="I455" i="17"/>
  <c r="N455" i="17" s="1" a="1"/>
  <c r="N455" i="17" s="1"/>
  <c r="J455" i="17"/>
  <c r="O455" i="17" s="1"/>
  <c r="K455" i="17"/>
  <c r="L455" i="17"/>
  <c r="M455" i="17" s="1"/>
  <c r="I456" i="17"/>
  <c r="N456" i="17" s="1" a="1"/>
  <c r="N456" i="17" s="1"/>
  <c r="J456" i="17"/>
  <c r="O456" i="17" s="1"/>
  <c r="K456" i="17"/>
  <c r="L456" i="17"/>
  <c r="M456" i="17" s="1"/>
  <c r="I457" i="17"/>
  <c r="N457" i="17" s="1" a="1"/>
  <c r="N457" i="17" s="1"/>
  <c r="J457" i="17"/>
  <c r="O457" i="17" s="1"/>
  <c r="K457" i="17"/>
  <c r="L457" i="17"/>
  <c r="M457" i="17" s="1"/>
  <c r="I458" i="17"/>
  <c r="N458" i="17" s="1" a="1"/>
  <c r="N458" i="17" s="1"/>
  <c r="J458" i="17"/>
  <c r="O458" i="17" s="1"/>
  <c r="K458" i="17"/>
  <c r="L458" i="17"/>
  <c r="M458" i="17" s="1"/>
  <c r="I459" i="17"/>
  <c r="N459" i="17" s="1" a="1"/>
  <c r="N459" i="17" s="1"/>
  <c r="J459" i="17"/>
  <c r="O459" i="17" s="1"/>
  <c r="K459" i="17"/>
  <c r="L459" i="17"/>
  <c r="M459" i="17" s="1"/>
  <c r="I460" i="17"/>
  <c r="N460" i="17" s="1" a="1"/>
  <c r="N460" i="17" s="1"/>
  <c r="J460" i="17"/>
  <c r="O460" i="17" s="1"/>
  <c r="K460" i="17"/>
  <c r="L460" i="17"/>
  <c r="M460" i="17" s="1"/>
  <c r="I461" i="17"/>
  <c r="N461" i="17" s="1" a="1"/>
  <c r="N461" i="17" s="1"/>
  <c r="J461" i="17"/>
  <c r="O461" i="17" s="1"/>
  <c r="K461" i="17"/>
  <c r="L461" i="17"/>
  <c r="M461" i="17" s="1"/>
  <c r="I462" i="17"/>
  <c r="N462" i="17" s="1" a="1"/>
  <c r="N462" i="17" s="1"/>
  <c r="J462" i="17"/>
  <c r="O462" i="17" s="1"/>
  <c r="K462" i="17"/>
  <c r="L462" i="17"/>
  <c r="M462" i="17" s="1"/>
  <c r="I463" i="17"/>
  <c r="N463" i="17" s="1" a="1"/>
  <c r="N463" i="17" s="1"/>
  <c r="J463" i="17"/>
  <c r="O463" i="17" s="1"/>
  <c r="K463" i="17"/>
  <c r="L463" i="17"/>
  <c r="M463" i="17" s="1"/>
  <c r="I464" i="17"/>
  <c r="N464" i="17" s="1" a="1"/>
  <c r="N464" i="17" s="1"/>
  <c r="J464" i="17"/>
  <c r="O464" i="17" s="1"/>
  <c r="K464" i="17"/>
  <c r="L464" i="17"/>
  <c r="M464" i="17" s="1"/>
  <c r="I465" i="17"/>
  <c r="N465" i="17" s="1" a="1"/>
  <c r="N465" i="17" s="1"/>
  <c r="J465" i="17"/>
  <c r="O465" i="17" s="1"/>
  <c r="K465" i="17"/>
  <c r="L465" i="17"/>
  <c r="M465" i="17" s="1"/>
  <c r="I466" i="17"/>
  <c r="N466" i="17" s="1" a="1"/>
  <c r="N466" i="17" s="1"/>
  <c r="J466" i="17"/>
  <c r="O466" i="17" s="1"/>
  <c r="K466" i="17"/>
  <c r="L466" i="17"/>
  <c r="M466" i="17" s="1"/>
  <c r="I467" i="17"/>
  <c r="N467" i="17" s="1" a="1"/>
  <c r="N467" i="17" s="1"/>
  <c r="J467" i="17"/>
  <c r="O467" i="17" s="1"/>
  <c r="K467" i="17"/>
  <c r="L467" i="17"/>
  <c r="M467" i="17" s="1"/>
  <c r="I468" i="17"/>
  <c r="N468" i="17" s="1" a="1"/>
  <c r="N468" i="17" s="1"/>
  <c r="J468" i="17"/>
  <c r="O468" i="17" s="1"/>
  <c r="K468" i="17"/>
  <c r="L468" i="17"/>
  <c r="M468" i="17" s="1"/>
  <c r="I469" i="17"/>
  <c r="N469" i="17" s="1" a="1"/>
  <c r="N469" i="17" s="1"/>
  <c r="J469" i="17"/>
  <c r="O469" i="17" s="1"/>
  <c r="K469" i="17"/>
  <c r="L469" i="17"/>
  <c r="M469" i="17" s="1"/>
  <c r="I470" i="17"/>
  <c r="N470" i="17" s="1" a="1"/>
  <c r="N470" i="17" s="1"/>
  <c r="J470" i="17"/>
  <c r="O470" i="17" s="1"/>
  <c r="K470" i="17"/>
  <c r="L470" i="17"/>
  <c r="M470" i="17" s="1"/>
  <c r="I471" i="17"/>
  <c r="N471" i="17" s="1" a="1"/>
  <c r="N471" i="17" s="1"/>
  <c r="J471" i="17"/>
  <c r="O471" i="17" s="1"/>
  <c r="K471" i="17"/>
  <c r="L471" i="17"/>
  <c r="M471" i="17" s="1"/>
  <c r="I472" i="17"/>
  <c r="N472" i="17" s="1" a="1"/>
  <c r="N472" i="17" s="1"/>
  <c r="J472" i="17"/>
  <c r="O472" i="17" s="1"/>
  <c r="K472" i="17"/>
  <c r="L472" i="17"/>
  <c r="M472" i="17" s="1"/>
  <c r="I473" i="17"/>
  <c r="N473" i="17" s="1" a="1"/>
  <c r="N473" i="17" s="1"/>
  <c r="J473" i="17"/>
  <c r="O473" i="17" s="1"/>
  <c r="K473" i="17"/>
  <c r="L473" i="17"/>
  <c r="M473" i="17" s="1"/>
  <c r="I474" i="17"/>
  <c r="N474" i="17" s="1" a="1"/>
  <c r="N474" i="17" s="1"/>
  <c r="J474" i="17"/>
  <c r="O474" i="17" s="1"/>
  <c r="K474" i="17"/>
  <c r="L474" i="17"/>
  <c r="M474" i="17" s="1"/>
  <c r="I475" i="17"/>
  <c r="N475" i="17" s="1" a="1"/>
  <c r="N475" i="17" s="1"/>
  <c r="J475" i="17"/>
  <c r="O475" i="17" s="1"/>
  <c r="K475" i="17"/>
  <c r="L475" i="17"/>
  <c r="M475" i="17" s="1"/>
  <c r="I476" i="17"/>
  <c r="N476" i="17" s="1" a="1"/>
  <c r="N476" i="17" s="1"/>
  <c r="J476" i="17"/>
  <c r="O476" i="17" s="1"/>
  <c r="K476" i="17"/>
  <c r="L476" i="17"/>
  <c r="M476" i="17" s="1"/>
  <c r="I477" i="17"/>
  <c r="N477" i="17" s="1" a="1"/>
  <c r="N477" i="17" s="1"/>
  <c r="J477" i="17"/>
  <c r="O477" i="17" s="1"/>
  <c r="K477" i="17"/>
  <c r="L477" i="17"/>
  <c r="M477" i="17" s="1"/>
  <c r="I478" i="17"/>
  <c r="N478" i="17" s="1" a="1"/>
  <c r="N478" i="17" s="1"/>
  <c r="J478" i="17"/>
  <c r="O478" i="17" s="1"/>
  <c r="K478" i="17"/>
  <c r="L478" i="17"/>
  <c r="M478" i="17" s="1"/>
  <c r="I479" i="17"/>
  <c r="N479" i="17" s="1" a="1"/>
  <c r="N479" i="17" s="1"/>
  <c r="J479" i="17"/>
  <c r="O479" i="17" s="1"/>
  <c r="K479" i="17"/>
  <c r="L479" i="17"/>
  <c r="M479" i="17" s="1"/>
  <c r="I480" i="17"/>
  <c r="N480" i="17" s="1" a="1"/>
  <c r="N480" i="17" s="1"/>
  <c r="J480" i="17"/>
  <c r="O480" i="17" s="1"/>
  <c r="K480" i="17"/>
  <c r="L480" i="17"/>
  <c r="M480" i="17" s="1"/>
  <c r="I481" i="17"/>
  <c r="N481" i="17" s="1" a="1"/>
  <c r="N481" i="17" s="1"/>
  <c r="J481" i="17"/>
  <c r="O481" i="17" s="1"/>
  <c r="K481" i="17"/>
  <c r="L481" i="17"/>
  <c r="M481" i="17" s="1"/>
  <c r="I482" i="17"/>
  <c r="N482" i="17" s="1" a="1"/>
  <c r="N482" i="17" s="1"/>
  <c r="J482" i="17"/>
  <c r="O482" i="17" s="1"/>
  <c r="K482" i="17"/>
  <c r="L482" i="17"/>
  <c r="M482" i="17" s="1"/>
  <c r="I483" i="17"/>
  <c r="N483" i="17" s="1" a="1"/>
  <c r="N483" i="17" s="1"/>
  <c r="J483" i="17"/>
  <c r="O483" i="17" s="1"/>
  <c r="K483" i="17"/>
  <c r="L483" i="17"/>
  <c r="M483" i="17" s="1"/>
  <c r="I484" i="17"/>
  <c r="N484" i="17" s="1" a="1"/>
  <c r="N484" i="17" s="1"/>
  <c r="J484" i="17"/>
  <c r="O484" i="17" s="1"/>
  <c r="K484" i="17"/>
  <c r="L484" i="17"/>
  <c r="M484" i="17" s="1"/>
  <c r="I485" i="17"/>
  <c r="N485" i="17" s="1" a="1"/>
  <c r="N485" i="17" s="1"/>
  <c r="J485" i="17"/>
  <c r="O485" i="17" s="1"/>
  <c r="K485" i="17"/>
  <c r="L485" i="17"/>
  <c r="M485" i="17" s="1"/>
  <c r="I486" i="17"/>
  <c r="N486" i="17" s="1" a="1"/>
  <c r="N486" i="17" s="1"/>
  <c r="J486" i="17"/>
  <c r="O486" i="17" s="1"/>
  <c r="K486" i="17"/>
  <c r="L486" i="17"/>
  <c r="M486" i="17" s="1"/>
  <c r="I487" i="17"/>
  <c r="N487" i="17" s="1" a="1"/>
  <c r="N487" i="17" s="1"/>
  <c r="J487" i="17"/>
  <c r="O487" i="17" s="1"/>
  <c r="K487" i="17"/>
  <c r="L487" i="17"/>
  <c r="M487" i="17" s="1"/>
  <c r="I488" i="17"/>
  <c r="N488" i="17" s="1" a="1"/>
  <c r="N488" i="17" s="1"/>
  <c r="J488" i="17"/>
  <c r="O488" i="17" s="1"/>
  <c r="K488" i="17"/>
  <c r="L488" i="17"/>
  <c r="M488" i="17" s="1"/>
  <c r="I489" i="17"/>
  <c r="N489" i="17" s="1" a="1"/>
  <c r="N489" i="17" s="1"/>
  <c r="J489" i="17"/>
  <c r="O489" i="17" s="1"/>
  <c r="K489" i="17"/>
  <c r="L489" i="17"/>
  <c r="M489" i="17" s="1"/>
  <c r="I490" i="17"/>
  <c r="N490" i="17" s="1" a="1"/>
  <c r="N490" i="17" s="1"/>
  <c r="J490" i="17"/>
  <c r="O490" i="17" s="1"/>
  <c r="K490" i="17"/>
  <c r="L490" i="17"/>
  <c r="M490" i="17" s="1"/>
  <c r="I491" i="17"/>
  <c r="N491" i="17" s="1" a="1"/>
  <c r="N491" i="17" s="1"/>
  <c r="J491" i="17"/>
  <c r="O491" i="17" s="1"/>
  <c r="K491" i="17"/>
  <c r="L491" i="17"/>
  <c r="M491" i="17" s="1"/>
  <c r="I492" i="17"/>
  <c r="N492" i="17" s="1" a="1"/>
  <c r="N492" i="17" s="1"/>
  <c r="J492" i="17"/>
  <c r="O492" i="17" s="1"/>
  <c r="K492" i="17"/>
  <c r="L492" i="17"/>
  <c r="M492" i="17" s="1"/>
  <c r="I493" i="17"/>
  <c r="N493" i="17" s="1" a="1"/>
  <c r="N493" i="17" s="1"/>
  <c r="J493" i="17"/>
  <c r="O493" i="17" s="1"/>
  <c r="K493" i="17"/>
  <c r="L493" i="17"/>
  <c r="M493" i="17" s="1"/>
  <c r="I494" i="17"/>
  <c r="N494" i="17" s="1" a="1"/>
  <c r="N494" i="17" s="1"/>
  <c r="J494" i="17"/>
  <c r="O494" i="17" s="1"/>
  <c r="K494" i="17"/>
  <c r="L494" i="17"/>
  <c r="M494" i="17" s="1"/>
  <c r="I495" i="17"/>
  <c r="N495" i="17" s="1" a="1"/>
  <c r="N495" i="17" s="1"/>
  <c r="J495" i="17"/>
  <c r="O495" i="17" s="1"/>
  <c r="K495" i="17"/>
  <c r="L495" i="17"/>
  <c r="M495" i="17" s="1"/>
  <c r="I496" i="17"/>
  <c r="N496" i="17" s="1" a="1"/>
  <c r="N496" i="17" s="1"/>
  <c r="J496" i="17"/>
  <c r="O496" i="17" s="1"/>
  <c r="K496" i="17"/>
  <c r="L496" i="17"/>
  <c r="M496" i="17" s="1"/>
  <c r="I497" i="17"/>
  <c r="N497" i="17" s="1" a="1"/>
  <c r="N497" i="17" s="1"/>
  <c r="J497" i="17"/>
  <c r="O497" i="17" s="1"/>
  <c r="K497" i="17"/>
  <c r="L497" i="17"/>
  <c r="M497" i="17" s="1"/>
  <c r="I498" i="17"/>
  <c r="N498" i="17" s="1" a="1"/>
  <c r="N498" i="17" s="1"/>
  <c r="J498" i="17"/>
  <c r="O498" i="17" s="1"/>
  <c r="K498" i="17"/>
  <c r="L498" i="17"/>
  <c r="M498" i="17" s="1"/>
  <c r="I499" i="17"/>
  <c r="N499" i="17" s="1" a="1"/>
  <c r="N499" i="17" s="1"/>
  <c r="J499" i="17"/>
  <c r="O499" i="17" s="1"/>
  <c r="K499" i="17"/>
  <c r="L499" i="17"/>
  <c r="M499" i="17" s="1"/>
  <c r="I500" i="17"/>
  <c r="N500" i="17" s="1" a="1"/>
  <c r="N500" i="17" s="1"/>
  <c r="J500" i="17"/>
  <c r="O500" i="17" s="1"/>
  <c r="K500" i="17"/>
  <c r="L500" i="17"/>
  <c r="M500" i="17" s="1"/>
  <c r="I501" i="17"/>
  <c r="N501" i="17" s="1" a="1"/>
  <c r="N501" i="17" s="1"/>
  <c r="J501" i="17"/>
  <c r="O501" i="17" s="1"/>
  <c r="K501" i="17"/>
  <c r="L501" i="17"/>
  <c r="M501" i="17" s="1"/>
  <c r="I502" i="17"/>
  <c r="N502" i="17" s="1" a="1"/>
  <c r="N502" i="17" s="1"/>
  <c r="J502" i="17"/>
  <c r="O502" i="17" s="1"/>
  <c r="K502" i="17"/>
  <c r="L502" i="17"/>
  <c r="M502" i="17" s="1"/>
  <c r="I503" i="17"/>
  <c r="N503" i="17" s="1" a="1"/>
  <c r="N503" i="17" s="1"/>
  <c r="J503" i="17"/>
  <c r="O503" i="17" s="1"/>
  <c r="K503" i="17"/>
  <c r="L503" i="17"/>
  <c r="M503" i="17" s="1"/>
  <c r="I504" i="17"/>
  <c r="N504" i="17" s="1" a="1"/>
  <c r="N504" i="17" s="1"/>
  <c r="J504" i="17"/>
  <c r="O504" i="17" s="1"/>
  <c r="K504" i="17"/>
  <c r="L504" i="17"/>
  <c r="M504" i="17" s="1"/>
  <c r="I505" i="17"/>
  <c r="N505" i="17" s="1" a="1"/>
  <c r="N505" i="17" s="1"/>
  <c r="J505" i="17"/>
  <c r="O505" i="17" s="1"/>
  <c r="K505" i="17"/>
  <c r="L505" i="17"/>
  <c r="M505" i="17" s="1"/>
  <c r="I506" i="17"/>
  <c r="N506" i="17" s="1" a="1"/>
  <c r="N506" i="17" s="1"/>
  <c r="J506" i="17"/>
  <c r="O506" i="17" s="1"/>
  <c r="K506" i="17"/>
  <c r="L506" i="17"/>
  <c r="M506" i="17" s="1"/>
  <c r="I507" i="17"/>
  <c r="N507" i="17" s="1" a="1"/>
  <c r="N507" i="17" s="1"/>
  <c r="J507" i="17"/>
  <c r="O507" i="17" s="1"/>
  <c r="K507" i="17"/>
  <c r="L507" i="17"/>
  <c r="M507" i="17" s="1"/>
  <c r="I508" i="17"/>
  <c r="N508" i="17" s="1" a="1"/>
  <c r="N508" i="17" s="1"/>
  <c r="J508" i="17"/>
  <c r="O508" i="17" s="1"/>
  <c r="K508" i="17"/>
  <c r="L508" i="17"/>
  <c r="M508" i="17" s="1"/>
  <c r="I509" i="17"/>
  <c r="N509" i="17" s="1" a="1"/>
  <c r="N509" i="17" s="1"/>
  <c r="J509" i="17"/>
  <c r="O509" i="17" s="1"/>
  <c r="K509" i="17"/>
  <c r="L509" i="17"/>
  <c r="M509" i="17" s="1"/>
  <c r="I510" i="17"/>
  <c r="N510" i="17" s="1" a="1"/>
  <c r="N510" i="17" s="1"/>
  <c r="J510" i="17"/>
  <c r="O510" i="17" s="1"/>
  <c r="K510" i="17"/>
  <c r="L510" i="17"/>
  <c r="M510" i="17" s="1"/>
  <c r="I511" i="17"/>
  <c r="N511" i="17" s="1" a="1"/>
  <c r="N511" i="17" s="1"/>
  <c r="J511" i="17"/>
  <c r="O511" i="17" s="1"/>
  <c r="K511" i="17"/>
  <c r="L511" i="17"/>
  <c r="M511" i="17" s="1"/>
  <c r="I512" i="17"/>
  <c r="N512" i="17" s="1" a="1"/>
  <c r="N512" i="17" s="1"/>
  <c r="J512" i="17"/>
  <c r="O512" i="17" s="1"/>
  <c r="K512" i="17"/>
  <c r="L512" i="17"/>
  <c r="M512" i="17" s="1"/>
  <c r="I513" i="17"/>
  <c r="N513" i="17" s="1" a="1"/>
  <c r="N513" i="17" s="1"/>
  <c r="J513" i="17"/>
  <c r="O513" i="17" s="1"/>
  <c r="K513" i="17"/>
  <c r="L513" i="17"/>
  <c r="M513" i="17" s="1"/>
  <c r="I514" i="17"/>
  <c r="N514" i="17" s="1" a="1"/>
  <c r="N514" i="17" s="1"/>
  <c r="J514" i="17"/>
  <c r="O514" i="17" s="1"/>
  <c r="K514" i="17"/>
  <c r="L514" i="17"/>
  <c r="M514" i="17" s="1"/>
  <c r="I515" i="17"/>
  <c r="N515" i="17" s="1" a="1"/>
  <c r="N515" i="17" s="1"/>
  <c r="J515" i="17"/>
  <c r="O515" i="17" s="1"/>
  <c r="K515" i="17"/>
  <c r="L515" i="17"/>
  <c r="M515" i="17" s="1"/>
  <c r="I516" i="17"/>
  <c r="N516" i="17" s="1" a="1"/>
  <c r="N516" i="17" s="1"/>
  <c r="J516" i="17"/>
  <c r="O516" i="17" s="1"/>
  <c r="K516" i="17"/>
  <c r="L516" i="17"/>
  <c r="M516" i="17" s="1"/>
  <c r="I517" i="17"/>
  <c r="N517" i="17" s="1" a="1"/>
  <c r="N517" i="17" s="1"/>
  <c r="J517" i="17"/>
  <c r="O517" i="17" s="1"/>
  <c r="K517" i="17"/>
  <c r="L517" i="17"/>
  <c r="M517" i="17" s="1"/>
  <c r="I518" i="17"/>
  <c r="N518" i="17" s="1" a="1"/>
  <c r="N518" i="17" s="1"/>
  <c r="J518" i="17"/>
  <c r="O518" i="17" s="1"/>
  <c r="K518" i="17"/>
  <c r="L518" i="17"/>
  <c r="M518" i="17" s="1"/>
  <c r="I519" i="17"/>
  <c r="N519" i="17" s="1" a="1"/>
  <c r="N519" i="17" s="1"/>
  <c r="J519" i="17"/>
  <c r="O519" i="17" s="1"/>
  <c r="K519" i="17"/>
  <c r="L519" i="17"/>
  <c r="M519" i="17" s="1"/>
  <c r="I520" i="17"/>
  <c r="N520" i="17" s="1" a="1"/>
  <c r="N520" i="17" s="1"/>
  <c r="J520" i="17"/>
  <c r="O520" i="17" s="1"/>
  <c r="K520" i="17"/>
  <c r="L520" i="17"/>
  <c r="M520" i="17" s="1"/>
  <c r="I521" i="17"/>
  <c r="N521" i="17" s="1" a="1"/>
  <c r="N521" i="17" s="1"/>
  <c r="J521" i="17"/>
  <c r="O521" i="17" s="1"/>
  <c r="K521" i="17"/>
  <c r="L521" i="17"/>
  <c r="M521" i="17" s="1"/>
  <c r="I522" i="17"/>
  <c r="N522" i="17" s="1" a="1"/>
  <c r="N522" i="17" s="1"/>
  <c r="J522" i="17"/>
  <c r="O522" i="17" s="1"/>
  <c r="K522" i="17"/>
  <c r="L522" i="17"/>
  <c r="M522" i="17" s="1"/>
  <c r="I523" i="17"/>
  <c r="N523" i="17" s="1" a="1"/>
  <c r="N523" i="17" s="1"/>
  <c r="J523" i="17"/>
  <c r="O523" i="17" s="1"/>
  <c r="K523" i="17"/>
  <c r="L523" i="17"/>
  <c r="M523" i="17" s="1"/>
  <c r="I524" i="17"/>
  <c r="N524" i="17" s="1" a="1"/>
  <c r="N524" i="17" s="1"/>
  <c r="J524" i="17"/>
  <c r="O524" i="17" s="1"/>
  <c r="K524" i="17"/>
  <c r="L524" i="17"/>
  <c r="M524" i="17" s="1"/>
  <c r="I525" i="17"/>
  <c r="N525" i="17" s="1" a="1"/>
  <c r="N525" i="17" s="1"/>
  <c r="J525" i="17"/>
  <c r="O525" i="17" s="1"/>
  <c r="K525" i="17"/>
  <c r="L525" i="17"/>
  <c r="M525" i="17" s="1"/>
  <c r="I526" i="17"/>
  <c r="N526" i="17" s="1" a="1"/>
  <c r="N526" i="17" s="1"/>
  <c r="J526" i="17"/>
  <c r="O526" i="17" s="1"/>
  <c r="K526" i="17"/>
  <c r="L526" i="17"/>
  <c r="M526" i="17" s="1"/>
  <c r="I527" i="17"/>
  <c r="N527" i="17" s="1" a="1"/>
  <c r="N527" i="17" s="1"/>
  <c r="J527" i="17"/>
  <c r="O527" i="17" s="1"/>
  <c r="K527" i="17"/>
  <c r="L527" i="17"/>
  <c r="M527" i="17" s="1"/>
  <c r="I528" i="17"/>
  <c r="N528" i="17" s="1" a="1"/>
  <c r="N528" i="17" s="1"/>
  <c r="J528" i="17"/>
  <c r="O528" i="17" s="1"/>
  <c r="K528" i="17"/>
  <c r="L528" i="17"/>
  <c r="M528" i="17" s="1"/>
  <c r="I529" i="17"/>
  <c r="N529" i="17" s="1" a="1"/>
  <c r="N529" i="17" s="1"/>
  <c r="J529" i="17"/>
  <c r="O529" i="17" s="1"/>
  <c r="K529" i="17"/>
  <c r="L529" i="17"/>
  <c r="M529" i="17" s="1"/>
  <c r="I530" i="17"/>
  <c r="N530" i="17" s="1" a="1"/>
  <c r="N530" i="17" s="1"/>
  <c r="J530" i="17"/>
  <c r="O530" i="17" s="1"/>
  <c r="K530" i="17"/>
  <c r="L530" i="17"/>
  <c r="M530" i="17" s="1"/>
  <c r="I531" i="17"/>
  <c r="N531" i="17" s="1" a="1"/>
  <c r="N531" i="17" s="1"/>
  <c r="J531" i="17"/>
  <c r="O531" i="17" s="1"/>
  <c r="K531" i="17"/>
  <c r="L531" i="17"/>
  <c r="M531" i="17" s="1"/>
  <c r="I532" i="17"/>
  <c r="N532" i="17" s="1" a="1"/>
  <c r="N532" i="17" s="1"/>
  <c r="J532" i="17"/>
  <c r="O532" i="17" s="1"/>
  <c r="K532" i="17"/>
  <c r="L532" i="17"/>
  <c r="M532" i="17" s="1"/>
  <c r="I533" i="17"/>
  <c r="N533" i="17" s="1" a="1"/>
  <c r="N533" i="17" s="1"/>
  <c r="J533" i="17"/>
  <c r="O533" i="17" s="1"/>
  <c r="K533" i="17"/>
  <c r="L533" i="17"/>
  <c r="M533" i="17" s="1"/>
  <c r="I534" i="17"/>
  <c r="N534" i="17" s="1" a="1"/>
  <c r="N534" i="17" s="1"/>
  <c r="J534" i="17"/>
  <c r="O534" i="17" s="1"/>
  <c r="K534" i="17"/>
  <c r="L534" i="17"/>
  <c r="M534" i="17" s="1"/>
  <c r="I535" i="17"/>
  <c r="N535" i="17" s="1" a="1"/>
  <c r="N535" i="17" s="1"/>
  <c r="J535" i="17"/>
  <c r="O535" i="17" s="1"/>
  <c r="K535" i="17"/>
  <c r="L535" i="17"/>
  <c r="M535" i="17" s="1"/>
  <c r="I536" i="17"/>
  <c r="N536" i="17" s="1" a="1"/>
  <c r="N536" i="17" s="1"/>
  <c r="J536" i="17"/>
  <c r="O536" i="17" s="1"/>
  <c r="K536" i="17"/>
  <c r="L536" i="17"/>
  <c r="M536" i="17" s="1"/>
  <c r="I537" i="17"/>
  <c r="N537" i="17" s="1" a="1"/>
  <c r="N537" i="17" s="1"/>
  <c r="J537" i="17"/>
  <c r="O537" i="17" s="1"/>
  <c r="K537" i="17"/>
  <c r="L537" i="17"/>
  <c r="M537" i="17" s="1"/>
  <c r="I538" i="17"/>
  <c r="N538" i="17" s="1" a="1"/>
  <c r="N538" i="17" s="1"/>
  <c r="J538" i="17"/>
  <c r="O538" i="17" s="1"/>
  <c r="K538" i="17"/>
  <c r="L538" i="17"/>
  <c r="M538" i="17" s="1"/>
  <c r="I539" i="17"/>
  <c r="N539" i="17" s="1" a="1"/>
  <c r="N539" i="17" s="1"/>
  <c r="J539" i="17"/>
  <c r="O539" i="17" s="1"/>
  <c r="K539" i="17"/>
  <c r="L539" i="17"/>
  <c r="M539" i="17" s="1"/>
  <c r="I540" i="17"/>
  <c r="N540" i="17" s="1" a="1"/>
  <c r="N540" i="17" s="1"/>
  <c r="J540" i="17"/>
  <c r="O540" i="17" s="1"/>
  <c r="K540" i="17"/>
  <c r="L540" i="17"/>
  <c r="M540" i="17" s="1"/>
  <c r="I541" i="17"/>
  <c r="N541" i="17" s="1" a="1"/>
  <c r="N541" i="17" s="1"/>
  <c r="J541" i="17"/>
  <c r="O541" i="17" s="1"/>
  <c r="K541" i="17"/>
  <c r="L541" i="17"/>
  <c r="M541" i="17" s="1"/>
  <c r="I542" i="17"/>
  <c r="N542" i="17" s="1" a="1"/>
  <c r="N542" i="17" s="1"/>
  <c r="J542" i="17"/>
  <c r="O542" i="17" s="1"/>
  <c r="K542" i="17"/>
  <c r="L542" i="17"/>
  <c r="M542" i="17" s="1"/>
  <c r="I543" i="17"/>
  <c r="N543" i="17" s="1" a="1"/>
  <c r="N543" i="17" s="1"/>
  <c r="J543" i="17"/>
  <c r="O543" i="17" s="1"/>
  <c r="K543" i="17"/>
  <c r="L543" i="17"/>
  <c r="M543" i="17" s="1"/>
  <c r="I544" i="17"/>
  <c r="N544" i="17" s="1" a="1"/>
  <c r="N544" i="17" s="1"/>
  <c r="J544" i="17"/>
  <c r="O544" i="17" s="1"/>
  <c r="K544" i="17"/>
  <c r="L544" i="17"/>
  <c r="M544" i="17" s="1"/>
  <c r="I545" i="17"/>
  <c r="N545" i="17" s="1" a="1"/>
  <c r="N545" i="17" s="1"/>
  <c r="J545" i="17"/>
  <c r="O545" i="17" s="1"/>
  <c r="K545" i="17"/>
  <c r="L545" i="17"/>
  <c r="M545" i="17" s="1"/>
  <c r="I546" i="17"/>
  <c r="N546" i="17" s="1" a="1"/>
  <c r="N546" i="17" s="1"/>
  <c r="J546" i="17"/>
  <c r="O546" i="17" s="1"/>
  <c r="K546" i="17"/>
  <c r="L546" i="17"/>
  <c r="M546" i="17" s="1"/>
  <c r="I547" i="17"/>
  <c r="N547" i="17" s="1" a="1"/>
  <c r="N547" i="17" s="1"/>
  <c r="J547" i="17"/>
  <c r="O547" i="17" s="1"/>
  <c r="K547" i="17"/>
  <c r="L547" i="17"/>
  <c r="M547" i="17" s="1"/>
  <c r="I548" i="17"/>
  <c r="N548" i="17" s="1" a="1"/>
  <c r="N548" i="17" s="1"/>
  <c r="J548" i="17"/>
  <c r="O548" i="17" s="1"/>
  <c r="K548" i="17"/>
  <c r="L548" i="17"/>
  <c r="M548" i="17" s="1"/>
  <c r="I549" i="17"/>
  <c r="N549" i="17" s="1" a="1"/>
  <c r="N549" i="17" s="1"/>
  <c r="J549" i="17"/>
  <c r="O549" i="17" s="1"/>
  <c r="K549" i="17"/>
  <c r="L549" i="17"/>
  <c r="M549" i="17" s="1"/>
  <c r="I550" i="17"/>
  <c r="N550" i="17" s="1" a="1"/>
  <c r="N550" i="17" s="1"/>
  <c r="J550" i="17"/>
  <c r="O550" i="17" s="1"/>
  <c r="K550" i="17"/>
  <c r="L550" i="17"/>
  <c r="M550" i="17" s="1"/>
  <c r="I551" i="17"/>
  <c r="N551" i="17" s="1" a="1"/>
  <c r="N551" i="17" s="1"/>
  <c r="J551" i="17"/>
  <c r="O551" i="17" s="1"/>
  <c r="K551" i="17"/>
  <c r="L551" i="17"/>
  <c r="M551" i="17" s="1"/>
  <c r="I552" i="17"/>
  <c r="N552" i="17" s="1" a="1"/>
  <c r="N552" i="17" s="1"/>
  <c r="J552" i="17"/>
  <c r="O552" i="17" s="1"/>
  <c r="K552" i="17"/>
  <c r="L552" i="17"/>
  <c r="M552" i="17" s="1"/>
  <c r="I553" i="17"/>
  <c r="N553" i="17" s="1" a="1"/>
  <c r="N553" i="17" s="1"/>
  <c r="J553" i="17"/>
  <c r="O553" i="17" s="1"/>
  <c r="K553" i="17"/>
  <c r="L553" i="17"/>
  <c r="M553" i="17" s="1"/>
  <c r="I554" i="17"/>
  <c r="N554" i="17" s="1" a="1"/>
  <c r="N554" i="17" s="1"/>
  <c r="J554" i="17"/>
  <c r="O554" i="17" s="1"/>
  <c r="K554" i="17"/>
  <c r="L554" i="17"/>
  <c r="M554" i="17" s="1"/>
  <c r="I555" i="17"/>
  <c r="N555" i="17" s="1" a="1"/>
  <c r="N555" i="17" s="1"/>
  <c r="J555" i="17"/>
  <c r="O555" i="17" s="1"/>
  <c r="K555" i="17"/>
  <c r="L555" i="17"/>
  <c r="M555" i="17" s="1"/>
  <c r="I556" i="17"/>
  <c r="N556" i="17" s="1" a="1"/>
  <c r="N556" i="17" s="1"/>
  <c r="J556" i="17"/>
  <c r="O556" i="17" s="1"/>
  <c r="K556" i="17"/>
  <c r="L556" i="17"/>
  <c r="M556" i="17" s="1"/>
  <c r="I557" i="17"/>
  <c r="N557" i="17" s="1" a="1"/>
  <c r="N557" i="17" s="1"/>
  <c r="J557" i="17"/>
  <c r="O557" i="17" s="1"/>
  <c r="K557" i="17"/>
  <c r="L557" i="17"/>
  <c r="M557" i="17" s="1"/>
  <c r="I558" i="17"/>
  <c r="N558" i="17" s="1" a="1"/>
  <c r="N558" i="17" s="1"/>
  <c r="J558" i="17"/>
  <c r="O558" i="17" s="1"/>
  <c r="K558" i="17"/>
  <c r="L558" i="17"/>
  <c r="M558" i="17" s="1"/>
  <c r="I559" i="17"/>
  <c r="N559" i="17" s="1" a="1"/>
  <c r="N559" i="17" s="1"/>
  <c r="J559" i="17"/>
  <c r="O559" i="17" s="1"/>
  <c r="K559" i="17"/>
  <c r="L559" i="17"/>
  <c r="M559" i="17" s="1"/>
  <c r="I560" i="17"/>
  <c r="N560" i="17" s="1" a="1"/>
  <c r="N560" i="17" s="1"/>
  <c r="J560" i="17"/>
  <c r="O560" i="17" s="1"/>
  <c r="K560" i="17"/>
  <c r="L560" i="17"/>
  <c r="M560" i="17" s="1"/>
  <c r="I561" i="17"/>
  <c r="N561" i="17" s="1" a="1"/>
  <c r="N561" i="17" s="1"/>
  <c r="J561" i="17"/>
  <c r="O561" i="17" s="1"/>
  <c r="K561" i="17"/>
  <c r="L561" i="17"/>
  <c r="M561" i="17" s="1"/>
  <c r="I562" i="17"/>
  <c r="N562" i="17" s="1" a="1"/>
  <c r="N562" i="17" s="1"/>
  <c r="J562" i="17"/>
  <c r="O562" i="17" s="1"/>
  <c r="K562" i="17"/>
  <c r="L562" i="17"/>
  <c r="M562" i="17" s="1"/>
  <c r="I563" i="17"/>
  <c r="N563" i="17" s="1" a="1"/>
  <c r="N563" i="17" s="1"/>
  <c r="J563" i="17"/>
  <c r="O563" i="17" s="1"/>
  <c r="K563" i="17"/>
  <c r="L563" i="17"/>
  <c r="M563" i="17" s="1"/>
  <c r="I564" i="17"/>
  <c r="N564" i="17" s="1" a="1"/>
  <c r="N564" i="17" s="1"/>
  <c r="J564" i="17"/>
  <c r="O564" i="17" s="1"/>
  <c r="K564" i="17"/>
  <c r="L564" i="17"/>
  <c r="M564" i="17" s="1"/>
  <c r="I565" i="17"/>
  <c r="N565" i="17" s="1" a="1"/>
  <c r="N565" i="17" s="1"/>
  <c r="J565" i="17"/>
  <c r="O565" i="17" s="1"/>
  <c r="K565" i="17"/>
  <c r="L565" i="17"/>
  <c r="M565" i="17" s="1"/>
  <c r="I566" i="17"/>
  <c r="N566" i="17" s="1" a="1"/>
  <c r="N566" i="17" s="1"/>
  <c r="J566" i="17"/>
  <c r="O566" i="17" s="1"/>
  <c r="K566" i="17"/>
  <c r="L566" i="17"/>
  <c r="M566" i="17" s="1"/>
  <c r="I567" i="17"/>
  <c r="N567" i="17" s="1" a="1"/>
  <c r="N567" i="17" s="1"/>
  <c r="J567" i="17"/>
  <c r="O567" i="17" s="1"/>
  <c r="K567" i="17"/>
  <c r="L567" i="17"/>
  <c r="M567" i="17" s="1"/>
  <c r="I568" i="17"/>
  <c r="N568" i="17" s="1" a="1"/>
  <c r="N568" i="17" s="1"/>
  <c r="J568" i="17"/>
  <c r="O568" i="17" s="1"/>
  <c r="K568" i="17"/>
  <c r="L568" i="17"/>
  <c r="M568" i="17" s="1"/>
  <c r="I569" i="17"/>
  <c r="N569" i="17" s="1" a="1"/>
  <c r="N569" i="17" s="1"/>
  <c r="J569" i="17"/>
  <c r="O569" i="17" s="1"/>
  <c r="K569" i="17"/>
  <c r="L569" i="17"/>
  <c r="M569" i="17" s="1"/>
  <c r="I570" i="17"/>
  <c r="N570" i="17" s="1" a="1"/>
  <c r="N570" i="17" s="1"/>
  <c r="J570" i="17"/>
  <c r="O570" i="17" s="1"/>
  <c r="K570" i="17"/>
  <c r="L570" i="17"/>
  <c r="M570" i="17" s="1"/>
  <c r="I571" i="17"/>
  <c r="N571" i="17" s="1" a="1"/>
  <c r="N571" i="17" s="1"/>
  <c r="J571" i="17"/>
  <c r="O571" i="17" s="1"/>
  <c r="K571" i="17"/>
  <c r="L571" i="17"/>
  <c r="M571" i="17" s="1"/>
  <c r="I572" i="17"/>
  <c r="N572" i="17" s="1" a="1"/>
  <c r="N572" i="17" s="1"/>
  <c r="J572" i="17"/>
  <c r="O572" i="17" s="1"/>
  <c r="K572" i="17"/>
  <c r="L572" i="17"/>
  <c r="M572" i="17" s="1"/>
  <c r="I573" i="17"/>
  <c r="N573" i="17" s="1" a="1"/>
  <c r="N573" i="17" s="1"/>
  <c r="J573" i="17"/>
  <c r="O573" i="17" s="1"/>
  <c r="K573" i="17"/>
  <c r="L573" i="17"/>
  <c r="M573" i="17" s="1"/>
  <c r="I574" i="17"/>
  <c r="N574" i="17" s="1" a="1"/>
  <c r="N574" i="17" s="1"/>
  <c r="J574" i="17"/>
  <c r="O574" i="17" s="1"/>
  <c r="K574" i="17"/>
  <c r="L574" i="17"/>
  <c r="M574" i="17" s="1"/>
  <c r="I575" i="17"/>
  <c r="N575" i="17" s="1" a="1"/>
  <c r="N575" i="17" s="1"/>
  <c r="J575" i="17"/>
  <c r="O575" i="17" s="1"/>
  <c r="K575" i="17"/>
  <c r="L575" i="17"/>
  <c r="M575" i="17" s="1"/>
  <c r="I576" i="17"/>
  <c r="N576" i="17" s="1" a="1"/>
  <c r="N576" i="17" s="1"/>
  <c r="J576" i="17"/>
  <c r="O576" i="17" s="1"/>
  <c r="K576" i="17"/>
  <c r="L576" i="17"/>
  <c r="M576" i="17" s="1"/>
  <c r="I577" i="17"/>
  <c r="N577" i="17" s="1" a="1"/>
  <c r="N577" i="17" s="1"/>
  <c r="J577" i="17"/>
  <c r="O577" i="17" s="1"/>
  <c r="K577" i="17"/>
  <c r="L577" i="17"/>
  <c r="M577" i="17" s="1"/>
  <c r="I578" i="17"/>
  <c r="N578" i="17" s="1" a="1"/>
  <c r="N578" i="17" s="1"/>
  <c r="J578" i="17"/>
  <c r="O578" i="17" s="1"/>
  <c r="K578" i="17"/>
  <c r="L578" i="17"/>
  <c r="M578" i="17" s="1"/>
  <c r="I579" i="17"/>
  <c r="N579" i="17" s="1" a="1"/>
  <c r="N579" i="17" s="1"/>
  <c r="J579" i="17"/>
  <c r="O579" i="17" s="1"/>
  <c r="K579" i="17"/>
  <c r="L579" i="17"/>
  <c r="M579" i="17" s="1"/>
  <c r="I580" i="17"/>
  <c r="N580" i="17" s="1" a="1"/>
  <c r="N580" i="17" s="1"/>
  <c r="J580" i="17"/>
  <c r="O580" i="17" s="1"/>
  <c r="K580" i="17"/>
  <c r="L580" i="17"/>
  <c r="M580" i="17" s="1"/>
  <c r="I581" i="17"/>
  <c r="N581" i="17" s="1" a="1"/>
  <c r="N581" i="17" s="1"/>
  <c r="J581" i="17"/>
  <c r="O581" i="17" s="1"/>
  <c r="K581" i="17"/>
  <c r="L581" i="17"/>
  <c r="M581" i="17" s="1"/>
  <c r="I582" i="17"/>
  <c r="N582" i="17" s="1" a="1"/>
  <c r="N582" i="17" s="1"/>
  <c r="J582" i="17"/>
  <c r="O582" i="17" s="1"/>
  <c r="K582" i="17"/>
  <c r="L582" i="17"/>
  <c r="M582" i="17" s="1"/>
  <c r="I583" i="17"/>
  <c r="N583" i="17" s="1" a="1"/>
  <c r="N583" i="17" s="1"/>
  <c r="J583" i="17"/>
  <c r="O583" i="17" s="1"/>
  <c r="K583" i="17"/>
  <c r="L583" i="17"/>
  <c r="M583" i="17" s="1"/>
  <c r="I584" i="17"/>
  <c r="N584" i="17" s="1" a="1"/>
  <c r="N584" i="17" s="1"/>
  <c r="J584" i="17"/>
  <c r="O584" i="17" s="1"/>
  <c r="K584" i="17"/>
  <c r="L584" i="17"/>
  <c r="M584" i="17" s="1"/>
  <c r="I585" i="17"/>
  <c r="N585" i="17" s="1" a="1"/>
  <c r="N585" i="17" s="1"/>
  <c r="J585" i="17"/>
  <c r="O585" i="17" s="1"/>
  <c r="K585" i="17"/>
  <c r="L585" i="17"/>
  <c r="M585" i="17" s="1"/>
  <c r="I586" i="17"/>
  <c r="N586" i="17" s="1" a="1"/>
  <c r="N586" i="17" s="1"/>
  <c r="J586" i="17"/>
  <c r="O586" i="17" s="1"/>
  <c r="K586" i="17"/>
  <c r="L586" i="17"/>
  <c r="M586" i="17" s="1"/>
  <c r="I587" i="17"/>
  <c r="N587" i="17" s="1" a="1"/>
  <c r="N587" i="17" s="1"/>
  <c r="J587" i="17"/>
  <c r="O587" i="17" s="1"/>
  <c r="K587" i="17"/>
  <c r="L587" i="17"/>
  <c r="M587" i="17" s="1"/>
  <c r="I588" i="17"/>
  <c r="N588" i="17" s="1" a="1"/>
  <c r="N588" i="17" s="1"/>
  <c r="J588" i="17"/>
  <c r="O588" i="17" s="1"/>
  <c r="K588" i="17"/>
  <c r="L588" i="17"/>
  <c r="M588" i="17" s="1"/>
  <c r="I589" i="17"/>
  <c r="N589" i="17" s="1" a="1"/>
  <c r="N589" i="17" s="1"/>
  <c r="J589" i="17"/>
  <c r="O589" i="17" s="1"/>
  <c r="K589" i="17"/>
  <c r="L589" i="17"/>
  <c r="M589" i="17" s="1"/>
  <c r="I590" i="17"/>
  <c r="N590" i="17" s="1" a="1"/>
  <c r="N590" i="17" s="1"/>
  <c r="J590" i="17"/>
  <c r="O590" i="17" s="1"/>
  <c r="K590" i="17"/>
  <c r="L590" i="17"/>
  <c r="M590" i="17" s="1"/>
  <c r="I591" i="17"/>
  <c r="N591" i="17" s="1" a="1"/>
  <c r="N591" i="17" s="1"/>
  <c r="J591" i="17"/>
  <c r="O591" i="17" s="1"/>
  <c r="K591" i="17"/>
  <c r="L591" i="17"/>
  <c r="M591" i="17" s="1"/>
  <c r="I592" i="17"/>
  <c r="N592" i="17" s="1" a="1"/>
  <c r="N592" i="17" s="1"/>
  <c r="J592" i="17"/>
  <c r="O592" i="17" s="1"/>
  <c r="K592" i="17"/>
  <c r="L592" i="17"/>
  <c r="M592" i="17" s="1"/>
  <c r="I593" i="17"/>
  <c r="N593" i="17" s="1" a="1"/>
  <c r="N593" i="17" s="1"/>
  <c r="J593" i="17"/>
  <c r="O593" i="17" s="1"/>
  <c r="K593" i="17"/>
  <c r="L593" i="17"/>
  <c r="M593" i="17" s="1"/>
  <c r="I594" i="17"/>
  <c r="N594" i="17" s="1" a="1"/>
  <c r="N594" i="17" s="1"/>
  <c r="J594" i="17"/>
  <c r="O594" i="17" s="1"/>
  <c r="K594" i="17"/>
  <c r="L594" i="17"/>
  <c r="M594" i="17" s="1"/>
  <c r="I595" i="17"/>
  <c r="N595" i="17" s="1" a="1"/>
  <c r="N595" i="17" s="1"/>
  <c r="J595" i="17"/>
  <c r="O595" i="17" s="1"/>
  <c r="K595" i="17"/>
  <c r="L595" i="17"/>
  <c r="M595" i="17" s="1"/>
  <c r="I596" i="17"/>
  <c r="N596" i="17" s="1" a="1"/>
  <c r="N596" i="17" s="1"/>
  <c r="J596" i="17"/>
  <c r="O596" i="17" s="1"/>
  <c r="K596" i="17"/>
  <c r="L596" i="17"/>
  <c r="M596" i="17" s="1"/>
  <c r="I597" i="17"/>
  <c r="N597" i="17" s="1" a="1"/>
  <c r="N597" i="17" s="1"/>
  <c r="J597" i="17"/>
  <c r="O597" i="17" s="1"/>
  <c r="K597" i="17"/>
  <c r="L597" i="17"/>
  <c r="M597" i="17" s="1"/>
  <c r="I598" i="17"/>
  <c r="N598" i="17" s="1" a="1"/>
  <c r="N598" i="17" s="1"/>
  <c r="J598" i="17"/>
  <c r="O598" i="17" s="1"/>
  <c r="K598" i="17"/>
  <c r="L598" i="17"/>
  <c r="M598" i="17" s="1"/>
  <c r="I599" i="17"/>
  <c r="N599" i="17" s="1" a="1"/>
  <c r="N599" i="17" s="1"/>
  <c r="J599" i="17"/>
  <c r="O599" i="17" s="1"/>
  <c r="K599" i="17"/>
  <c r="L599" i="17"/>
  <c r="M599" i="17" s="1"/>
  <c r="I600" i="17"/>
  <c r="N600" i="17" s="1" a="1"/>
  <c r="N600" i="17" s="1"/>
  <c r="J600" i="17"/>
  <c r="O600" i="17" s="1"/>
  <c r="K600" i="17"/>
  <c r="L600" i="17"/>
  <c r="M600" i="17" s="1"/>
  <c r="I601" i="17"/>
  <c r="N601" i="17" s="1" a="1"/>
  <c r="N601" i="17" s="1"/>
  <c r="J601" i="17"/>
  <c r="O601" i="17" s="1"/>
  <c r="K601" i="17"/>
  <c r="L601" i="17"/>
  <c r="M601" i="17" s="1"/>
  <c r="I602" i="17"/>
  <c r="N602" i="17" s="1" a="1"/>
  <c r="N602" i="17" s="1"/>
  <c r="J602" i="17"/>
  <c r="O602" i="17" s="1"/>
  <c r="K602" i="17"/>
  <c r="L602" i="17"/>
  <c r="M602" i="17" s="1"/>
  <c r="I603" i="17"/>
  <c r="N603" i="17" s="1" a="1"/>
  <c r="N603" i="17" s="1"/>
  <c r="J603" i="17"/>
  <c r="O603" i="17" s="1"/>
  <c r="K603" i="17"/>
  <c r="L603" i="17"/>
  <c r="M603" i="17" s="1"/>
  <c r="I604" i="17"/>
  <c r="N604" i="17" s="1" a="1"/>
  <c r="N604" i="17" s="1"/>
  <c r="J604" i="17"/>
  <c r="O604" i="17" s="1"/>
  <c r="K604" i="17"/>
  <c r="L604" i="17"/>
  <c r="M604" i="17" s="1"/>
  <c r="I605" i="17"/>
  <c r="N605" i="17" s="1" a="1"/>
  <c r="N605" i="17" s="1"/>
  <c r="J605" i="17"/>
  <c r="O605" i="17" s="1"/>
  <c r="K605" i="17"/>
  <c r="L605" i="17"/>
  <c r="M605" i="17" s="1"/>
  <c r="I606" i="17"/>
  <c r="N606" i="17" s="1" a="1"/>
  <c r="N606" i="17" s="1"/>
  <c r="J606" i="17"/>
  <c r="O606" i="17" s="1"/>
  <c r="K606" i="17"/>
  <c r="L606" i="17"/>
  <c r="M606" i="17" s="1"/>
  <c r="I607" i="17"/>
  <c r="N607" i="17" s="1" a="1"/>
  <c r="N607" i="17" s="1"/>
  <c r="J607" i="17"/>
  <c r="O607" i="17" s="1"/>
  <c r="K607" i="17"/>
  <c r="L607" i="17"/>
  <c r="M607" i="17" s="1"/>
  <c r="I608" i="17"/>
  <c r="N608" i="17" s="1" a="1"/>
  <c r="N608" i="17" s="1"/>
  <c r="J608" i="17"/>
  <c r="O608" i="17" s="1"/>
  <c r="K608" i="17"/>
  <c r="L608" i="17"/>
  <c r="M608" i="17" s="1"/>
  <c r="I609" i="17"/>
  <c r="N609" i="17" s="1" a="1"/>
  <c r="N609" i="17" s="1"/>
  <c r="J609" i="17"/>
  <c r="O609" i="17" s="1"/>
  <c r="K609" i="17"/>
  <c r="L609" i="17"/>
  <c r="M609" i="17" s="1"/>
  <c r="I610" i="17"/>
  <c r="N610" i="17" s="1" a="1"/>
  <c r="N610" i="17" s="1"/>
  <c r="J610" i="17"/>
  <c r="O610" i="17" s="1"/>
  <c r="K610" i="17"/>
  <c r="L610" i="17"/>
  <c r="M610" i="17" s="1"/>
  <c r="I611" i="17"/>
  <c r="N611" i="17" s="1" a="1"/>
  <c r="N611" i="17" s="1"/>
  <c r="J611" i="17"/>
  <c r="O611" i="17" s="1"/>
  <c r="K611" i="17"/>
  <c r="L611" i="17"/>
  <c r="M611" i="17" s="1"/>
  <c r="I612" i="17"/>
  <c r="N612" i="17" s="1" a="1"/>
  <c r="N612" i="17" s="1"/>
  <c r="J612" i="17"/>
  <c r="O612" i="17" s="1"/>
  <c r="K612" i="17"/>
  <c r="L612" i="17"/>
  <c r="M612" i="17" s="1"/>
  <c r="I613" i="17"/>
  <c r="N613" i="17" s="1" a="1"/>
  <c r="N613" i="17" s="1"/>
  <c r="J613" i="17"/>
  <c r="O613" i="17" s="1"/>
  <c r="K613" i="17"/>
  <c r="L613" i="17"/>
  <c r="M613" i="17" s="1"/>
  <c r="I614" i="17"/>
  <c r="N614" i="17" s="1" a="1"/>
  <c r="N614" i="17" s="1"/>
  <c r="J614" i="17"/>
  <c r="O614" i="17" s="1"/>
  <c r="K614" i="17"/>
  <c r="L614" i="17"/>
  <c r="M614" i="17" s="1"/>
  <c r="I615" i="17"/>
  <c r="N615" i="17" s="1" a="1"/>
  <c r="N615" i="17" s="1"/>
  <c r="J615" i="17"/>
  <c r="O615" i="17" s="1"/>
  <c r="K615" i="17"/>
  <c r="L615" i="17"/>
  <c r="M615" i="17" s="1"/>
  <c r="I616" i="17"/>
  <c r="N616" i="17" s="1" a="1"/>
  <c r="N616" i="17" s="1"/>
  <c r="J616" i="17"/>
  <c r="O616" i="17" s="1"/>
  <c r="K616" i="17"/>
  <c r="L616" i="17"/>
  <c r="M616" i="17" s="1"/>
  <c r="I617" i="17"/>
  <c r="N617" i="17" s="1" a="1"/>
  <c r="N617" i="17" s="1"/>
  <c r="J617" i="17"/>
  <c r="O617" i="17" s="1"/>
  <c r="K617" i="17"/>
  <c r="L617" i="17"/>
  <c r="M617" i="17" s="1"/>
  <c r="I618" i="17"/>
  <c r="N618" i="17" s="1" a="1"/>
  <c r="N618" i="17" s="1"/>
  <c r="J618" i="17"/>
  <c r="O618" i="17" s="1"/>
  <c r="K618" i="17"/>
  <c r="L618" i="17"/>
  <c r="M618" i="17" s="1"/>
  <c r="I619" i="17"/>
  <c r="N619" i="17" s="1" a="1"/>
  <c r="N619" i="17" s="1"/>
  <c r="J619" i="17"/>
  <c r="O619" i="17" s="1"/>
  <c r="K619" i="17"/>
  <c r="L619" i="17"/>
  <c r="M619" i="17" s="1"/>
  <c r="I620" i="17"/>
  <c r="N620" i="17" s="1" a="1"/>
  <c r="N620" i="17" s="1"/>
  <c r="J620" i="17"/>
  <c r="O620" i="17" s="1"/>
  <c r="K620" i="17"/>
  <c r="L620" i="17"/>
  <c r="M620" i="17" s="1"/>
  <c r="I621" i="17"/>
  <c r="N621" i="17" s="1" a="1"/>
  <c r="N621" i="17" s="1"/>
  <c r="J621" i="17"/>
  <c r="O621" i="17" s="1"/>
  <c r="K621" i="17"/>
  <c r="L621" i="17"/>
  <c r="M621" i="17" s="1"/>
  <c r="I622" i="17"/>
  <c r="N622" i="17" s="1" a="1"/>
  <c r="N622" i="17" s="1"/>
  <c r="J622" i="17"/>
  <c r="O622" i="17" s="1"/>
  <c r="K622" i="17"/>
  <c r="L622" i="17"/>
  <c r="M622" i="17" s="1"/>
  <c r="I623" i="17"/>
  <c r="N623" i="17" s="1" a="1"/>
  <c r="N623" i="17" s="1"/>
  <c r="J623" i="17"/>
  <c r="O623" i="17" s="1"/>
  <c r="K623" i="17"/>
  <c r="L623" i="17"/>
  <c r="M623" i="17" s="1"/>
  <c r="I624" i="17"/>
  <c r="N624" i="17" s="1" a="1"/>
  <c r="N624" i="17" s="1"/>
  <c r="J624" i="17"/>
  <c r="O624" i="17" s="1"/>
  <c r="K624" i="17"/>
  <c r="L624" i="17"/>
  <c r="M624" i="17" s="1"/>
  <c r="I625" i="17"/>
  <c r="N625" i="17" s="1" a="1"/>
  <c r="N625" i="17" s="1"/>
  <c r="J625" i="17"/>
  <c r="O625" i="17" s="1"/>
  <c r="K625" i="17"/>
  <c r="L625" i="17"/>
  <c r="M625" i="17" s="1"/>
  <c r="I626" i="17"/>
  <c r="N626" i="17" s="1" a="1"/>
  <c r="N626" i="17" s="1"/>
  <c r="J626" i="17"/>
  <c r="O626" i="17" s="1"/>
  <c r="K626" i="17"/>
  <c r="L626" i="17"/>
  <c r="M626" i="17" s="1"/>
  <c r="I627" i="17"/>
  <c r="N627" i="17" s="1" a="1"/>
  <c r="N627" i="17" s="1"/>
  <c r="J627" i="17"/>
  <c r="O627" i="17" s="1"/>
  <c r="K627" i="17"/>
  <c r="L627" i="17"/>
  <c r="M627" i="17" s="1"/>
  <c r="I628" i="17"/>
  <c r="N628" i="17" s="1" a="1"/>
  <c r="N628" i="17" s="1"/>
  <c r="J628" i="17"/>
  <c r="O628" i="17" s="1"/>
  <c r="K628" i="17"/>
  <c r="L628" i="17"/>
  <c r="M628" i="17" s="1"/>
  <c r="I629" i="17"/>
  <c r="N629" i="17" s="1" a="1"/>
  <c r="N629" i="17" s="1"/>
  <c r="J629" i="17"/>
  <c r="O629" i="17" s="1"/>
  <c r="K629" i="17"/>
  <c r="L629" i="17"/>
  <c r="M629" i="17" s="1"/>
  <c r="I630" i="17"/>
  <c r="N630" i="17" s="1" a="1"/>
  <c r="N630" i="17" s="1"/>
  <c r="J630" i="17"/>
  <c r="O630" i="17" s="1"/>
  <c r="K630" i="17"/>
  <c r="L630" i="17"/>
  <c r="M630" i="17" s="1"/>
  <c r="I631" i="17"/>
  <c r="N631" i="17" s="1" a="1"/>
  <c r="N631" i="17" s="1"/>
  <c r="J631" i="17"/>
  <c r="O631" i="17" s="1"/>
  <c r="K631" i="17"/>
  <c r="L631" i="17"/>
  <c r="M631" i="17" s="1"/>
  <c r="I632" i="17"/>
  <c r="N632" i="17" s="1" a="1"/>
  <c r="N632" i="17" s="1"/>
  <c r="J632" i="17"/>
  <c r="O632" i="17" s="1"/>
  <c r="K632" i="17"/>
  <c r="L632" i="17"/>
  <c r="M632" i="17" s="1"/>
  <c r="I633" i="17"/>
  <c r="N633" i="17" s="1" a="1"/>
  <c r="N633" i="17" s="1"/>
  <c r="J633" i="17"/>
  <c r="O633" i="17" s="1"/>
  <c r="K633" i="17"/>
  <c r="L633" i="17"/>
  <c r="M633" i="17" s="1"/>
  <c r="I634" i="17"/>
  <c r="N634" i="17" s="1" a="1"/>
  <c r="N634" i="17" s="1"/>
  <c r="J634" i="17"/>
  <c r="O634" i="17" s="1"/>
  <c r="K634" i="17"/>
  <c r="L634" i="17"/>
  <c r="M634" i="17" s="1"/>
  <c r="I635" i="17"/>
  <c r="N635" i="17" s="1" a="1"/>
  <c r="N635" i="17" s="1"/>
  <c r="J635" i="17"/>
  <c r="O635" i="17" s="1"/>
  <c r="K635" i="17"/>
  <c r="L635" i="17"/>
  <c r="M635" i="17" s="1"/>
  <c r="I636" i="17"/>
  <c r="N636" i="17" s="1" a="1"/>
  <c r="N636" i="17" s="1"/>
  <c r="J636" i="17"/>
  <c r="O636" i="17" s="1"/>
  <c r="K636" i="17"/>
  <c r="L636" i="17"/>
  <c r="M636" i="17" s="1"/>
  <c r="I637" i="17"/>
  <c r="N637" i="17" s="1" a="1"/>
  <c r="N637" i="17" s="1"/>
  <c r="J637" i="17"/>
  <c r="O637" i="17" s="1"/>
  <c r="K637" i="17"/>
  <c r="L637" i="17"/>
  <c r="M637" i="17" s="1"/>
  <c r="I638" i="17"/>
  <c r="N638" i="17" s="1" a="1"/>
  <c r="N638" i="17" s="1"/>
  <c r="J638" i="17"/>
  <c r="O638" i="17" s="1"/>
  <c r="K638" i="17"/>
  <c r="L638" i="17"/>
  <c r="M638" i="17" s="1"/>
  <c r="I639" i="17"/>
  <c r="N639" i="17" s="1" a="1"/>
  <c r="N639" i="17" s="1"/>
  <c r="J639" i="17"/>
  <c r="O639" i="17" s="1"/>
  <c r="K639" i="17"/>
  <c r="L639" i="17"/>
  <c r="M639" i="17" s="1"/>
  <c r="I640" i="17"/>
  <c r="N640" i="17" s="1" a="1"/>
  <c r="N640" i="17" s="1"/>
  <c r="J640" i="17"/>
  <c r="O640" i="17" s="1"/>
  <c r="K640" i="17"/>
  <c r="L640" i="17"/>
  <c r="M640" i="17" s="1"/>
  <c r="I641" i="17"/>
  <c r="N641" i="17" s="1" a="1"/>
  <c r="N641" i="17" s="1"/>
  <c r="J641" i="17"/>
  <c r="O641" i="17" s="1"/>
  <c r="K641" i="17"/>
  <c r="L641" i="17"/>
  <c r="M641" i="17" s="1"/>
  <c r="I642" i="17"/>
  <c r="N642" i="17" s="1" a="1"/>
  <c r="N642" i="17" s="1"/>
  <c r="J642" i="17"/>
  <c r="O642" i="17" s="1"/>
  <c r="K642" i="17"/>
  <c r="L642" i="17"/>
  <c r="M642" i="17" s="1"/>
  <c r="I643" i="17"/>
  <c r="N643" i="17" s="1" a="1"/>
  <c r="N643" i="17" s="1"/>
  <c r="J643" i="17"/>
  <c r="O643" i="17" s="1"/>
  <c r="K643" i="17"/>
  <c r="L643" i="17"/>
  <c r="M643" i="17" s="1"/>
  <c r="I644" i="17"/>
  <c r="N644" i="17" s="1" a="1"/>
  <c r="N644" i="17" s="1"/>
  <c r="J644" i="17"/>
  <c r="O644" i="17" s="1"/>
  <c r="K644" i="17"/>
  <c r="L644" i="17"/>
  <c r="M644" i="17" s="1"/>
  <c r="I645" i="17"/>
  <c r="N645" i="17" s="1" a="1"/>
  <c r="N645" i="17" s="1"/>
  <c r="J645" i="17"/>
  <c r="O645" i="17" s="1"/>
  <c r="K645" i="17"/>
  <c r="L645" i="17"/>
  <c r="M645" i="17" s="1"/>
  <c r="I646" i="17"/>
  <c r="N646" i="17" s="1" a="1"/>
  <c r="N646" i="17" s="1"/>
  <c r="J646" i="17"/>
  <c r="O646" i="17" s="1"/>
  <c r="K646" i="17"/>
  <c r="L646" i="17"/>
  <c r="M646" i="17" s="1"/>
  <c r="I647" i="17"/>
  <c r="N647" i="17" s="1" a="1"/>
  <c r="N647" i="17" s="1"/>
  <c r="J647" i="17"/>
  <c r="O647" i="17" s="1"/>
  <c r="K647" i="17"/>
  <c r="L647" i="17"/>
  <c r="M647" i="17" s="1"/>
  <c r="I648" i="17"/>
  <c r="N648" i="17" s="1" a="1"/>
  <c r="N648" i="17" s="1"/>
  <c r="J648" i="17"/>
  <c r="O648" i="17" s="1"/>
  <c r="K648" i="17"/>
  <c r="L648" i="17"/>
  <c r="M648" i="17" s="1"/>
  <c r="I649" i="17"/>
  <c r="N649" i="17" s="1" a="1"/>
  <c r="N649" i="17" s="1"/>
  <c r="J649" i="17"/>
  <c r="O649" i="17" s="1"/>
  <c r="K649" i="17"/>
  <c r="L649" i="17"/>
  <c r="M649" i="17" s="1"/>
  <c r="I650" i="17"/>
  <c r="N650" i="17" s="1" a="1"/>
  <c r="N650" i="17" s="1"/>
  <c r="J650" i="17"/>
  <c r="O650" i="17" s="1"/>
  <c r="K650" i="17"/>
  <c r="L650" i="17"/>
  <c r="M650" i="17" s="1"/>
  <c r="I651" i="17"/>
  <c r="N651" i="17" s="1" a="1"/>
  <c r="N651" i="17" s="1"/>
  <c r="J651" i="17"/>
  <c r="O651" i="17" s="1"/>
  <c r="K651" i="17"/>
  <c r="L651" i="17"/>
  <c r="M651" i="17" s="1"/>
  <c r="I652" i="17"/>
  <c r="N652" i="17" s="1" a="1"/>
  <c r="N652" i="17" s="1"/>
  <c r="J652" i="17"/>
  <c r="O652" i="17" s="1"/>
  <c r="K652" i="17"/>
  <c r="L652" i="17"/>
  <c r="M652" i="17" s="1"/>
  <c r="I653" i="17"/>
  <c r="N653" i="17" s="1" a="1"/>
  <c r="N653" i="17" s="1"/>
  <c r="J653" i="17"/>
  <c r="O653" i="17" s="1"/>
  <c r="K653" i="17"/>
  <c r="L653" i="17"/>
  <c r="M653" i="17" s="1"/>
  <c r="I654" i="17"/>
  <c r="N654" i="17" s="1" a="1"/>
  <c r="N654" i="17" s="1"/>
  <c r="J654" i="17"/>
  <c r="O654" i="17" s="1"/>
  <c r="K654" i="17"/>
  <c r="L654" i="17"/>
  <c r="M654" i="17" s="1"/>
  <c r="I655" i="17"/>
  <c r="N655" i="17" s="1" a="1"/>
  <c r="N655" i="17" s="1"/>
  <c r="J655" i="17"/>
  <c r="O655" i="17" s="1"/>
  <c r="K655" i="17"/>
  <c r="L655" i="17"/>
  <c r="M655" i="17" s="1"/>
  <c r="I656" i="17"/>
  <c r="N656" i="17" s="1" a="1"/>
  <c r="N656" i="17" s="1"/>
  <c r="J656" i="17"/>
  <c r="O656" i="17" s="1"/>
  <c r="K656" i="17"/>
  <c r="L656" i="17"/>
  <c r="M656" i="17" s="1"/>
  <c r="I657" i="17"/>
  <c r="N657" i="17" s="1" a="1"/>
  <c r="N657" i="17" s="1"/>
  <c r="J657" i="17"/>
  <c r="O657" i="17" s="1"/>
  <c r="K657" i="17"/>
  <c r="L657" i="17"/>
  <c r="M657" i="17" s="1"/>
  <c r="I658" i="17"/>
  <c r="N658" i="17" s="1" a="1"/>
  <c r="N658" i="17" s="1"/>
  <c r="J658" i="17"/>
  <c r="O658" i="17" s="1"/>
  <c r="K658" i="17"/>
  <c r="L658" i="17"/>
  <c r="M658" i="17" s="1"/>
  <c r="I659" i="17"/>
  <c r="N659" i="17" s="1" a="1"/>
  <c r="N659" i="17" s="1"/>
  <c r="J659" i="17"/>
  <c r="O659" i="17" s="1"/>
  <c r="K659" i="17"/>
  <c r="L659" i="17"/>
  <c r="M659" i="17" s="1"/>
  <c r="I660" i="17"/>
  <c r="N660" i="17" s="1" a="1"/>
  <c r="N660" i="17" s="1"/>
  <c r="J660" i="17"/>
  <c r="O660" i="17" s="1"/>
  <c r="K660" i="17"/>
  <c r="L660" i="17"/>
  <c r="M660" i="17" s="1"/>
  <c r="I661" i="17"/>
  <c r="N661" i="17" s="1" a="1"/>
  <c r="N661" i="17" s="1"/>
  <c r="J661" i="17"/>
  <c r="O661" i="17" s="1"/>
  <c r="K661" i="17"/>
  <c r="L661" i="17"/>
  <c r="M661" i="17" s="1"/>
  <c r="I662" i="17"/>
  <c r="N662" i="17" s="1" a="1"/>
  <c r="N662" i="17" s="1"/>
  <c r="J662" i="17"/>
  <c r="O662" i="17" s="1"/>
  <c r="K662" i="17"/>
  <c r="L662" i="17"/>
  <c r="M662" i="17" s="1"/>
  <c r="I663" i="17"/>
  <c r="N663" i="17" s="1" a="1"/>
  <c r="N663" i="17" s="1"/>
  <c r="J663" i="17"/>
  <c r="O663" i="17" s="1"/>
  <c r="K663" i="17"/>
  <c r="L663" i="17"/>
  <c r="M663" i="17" s="1"/>
  <c r="I664" i="17"/>
  <c r="N664" i="17" s="1" a="1"/>
  <c r="N664" i="17" s="1"/>
  <c r="J664" i="17"/>
  <c r="O664" i="17" s="1"/>
  <c r="K664" i="17"/>
  <c r="L664" i="17"/>
  <c r="M664" i="17" s="1"/>
  <c r="I665" i="17"/>
  <c r="N665" i="17" s="1" a="1"/>
  <c r="N665" i="17" s="1"/>
  <c r="J665" i="17"/>
  <c r="O665" i="17" s="1"/>
  <c r="K665" i="17"/>
  <c r="L665" i="17"/>
  <c r="M665" i="17" s="1"/>
  <c r="I666" i="17"/>
  <c r="N666" i="17" s="1" a="1"/>
  <c r="N666" i="17" s="1"/>
  <c r="J666" i="17"/>
  <c r="O666" i="17" s="1"/>
  <c r="K666" i="17"/>
  <c r="L666" i="17"/>
  <c r="M666" i="17" s="1"/>
  <c r="I667" i="17"/>
  <c r="N667" i="17" s="1" a="1"/>
  <c r="N667" i="17" s="1"/>
  <c r="J667" i="17"/>
  <c r="O667" i="17" s="1"/>
  <c r="K667" i="17"/>
  <c r="L667" i="17"/>
  <c r="M667" i="17" s="1"/>
  <c r="I668" i="17"/>
  <c r="N668" i="17" s="1" a="1"/>
  <c r="N668" i="17" s="1"/>
  <c r="J668" i="17"/>
  <c r="O668" i="17" s="1"/>
  <c r="K668" i="17"/>
  <c r="L668" i="17"/>
  <c r="M668" i="17" s="1"/>
  <c r="I669" i="17"/>
  <c r="N669" i="17" s="1" a="1"/>
  <c r="N669" i="17" s="1"/>
  <c r="J669" i="17"/>
  <c r="O669" i="17" s="1"/>
  <c r="K669" i="17"/>
  <c r="L669" i="17"/>
  <c r="M669" i="17" s="1"/>
  <c r="I670" i="17"/>
  <c r="N670" i="17" s="1" a="1"/>
  <c r="N670" i="17" s="1"/>
  <c r="J670" i="17"/>
  <c r="O670" i="17" s="1"/>
  <c r="K670" i="17"/>
  <c r="L670" i="17"/>
  <c r="M670" i="17" s="1"/>
  <c r="I671" i="17"/>
  <c r="N671" i="17" s="1" a="1"/>
  <c r="N671" i="17" s="1"/>
  <c r="J671" i="17"/>
  <c r="O671" i="17" s="1"/>
  <c r="K671" i="17"/>
  <c r="L671" i="17"/>
  <c r="M671" i="17" s="1"/>
  <c r="I672" i="17"/>
  <c r="N672" i="17" s="1" a="1"/>
  <c r="N672" i="17" s="1"/>
  <c r="J672" i="17"/>
  <c r="O672" i="17" s="1"/>
  <c r="K672" i="17"/>
  <c r="L672" i="17"/>
  <c r="M672" i="17" s="1"/>
  <c r="I673" i="17"/>
  <c r="N673" i="17" s="1" a="1"/>
  <c r="N673" i="17" s="1"/>
  <c r="J673" i="17"/>
  <c r="O673" i="17" s="1"/>
  <c r="K673" i="17"/>
  <c r="L673" i="17"/>
  <c r="M673" i="17" s="1"/>
  <c r="I674" i="17"/>
  <c r="N674" i="17" s="1" a="1"/>
  <c r="N674" i="17" s="1"/>
  <c r="J674" i="17"/>
  <c r="O674" i="17" s="1"/>
  <c r="K674" i="17"/>
  <c r="L674" i="17"/>
  <c r="M674" i="17" s="1"/>
  <c r="I675" i="17"/>
  <c r="N675" i="17" s="1" a="1"/>
  <c r="N675" i="17" s="1"/>
  <c r="J675" i="17"/>
  <c r="O675" i="17" s="1"/>
  <c r="K675" i="17"/>
  <c r="L675" i="17"/>
  <c r="M675" i="17" s="1"/>
  <c r="I676" i="17"/>
  <c r="N676" i="17" s="1" a="1"/>
  <c r="N676" i="17" s="1"/>
  <c r="J676" i="17"/>
  <c r="O676" i="17" s="1"/>
  <c r="K676" i="17"/>
  <c r="L676" i="17"/>
  <c r="M676" i="17" s="1"/>
  <c r="I677" i="17"/>
  <c r="N677" i="17" s="1" a="1"/>
  <c r="N677" i="17" s="1"/>
  <c r="J677" i="17"/>
  <c r="O677" i="17" s="1"/>
  <c r="K677" i="17"/>
  <c r="L677" i="17"/>
  <c r="M677" i="17" s="1"/>
  <c r="I678" i="17"/>
  <c r="N678" i="17" s="1" a="1"/>
  <c r="N678" i="17" s="1"/>
  <c r="J678" i="17"/>
  <c r="O678" i="17" s="1"/>
  <c r="K678" i="17"/>
  <c r="L678" i="17"/>
  <c r="M678" i="17" s="1"/>
  <c r="I679" i="17"/>
  <c r="N679" i="17" s="1" a="1"/>
  <c r="N679" i="17" s="1"/>
  <c r="J679" i="17"/>
  <c r="O679" i="17" s="1"/>
  <c r="K679" i="17"/>
  <c r="L679" i="17"/>
  <c r="M679" i="17" s="1"/>
  <c r="I680" i="17"/>
  <c r="N680" i="17" s="1" a="1"/>
  <c r="N680" i="17" s="1"/>
  <c r="J680" i="17"/>
  <c r="O680" i="17" s="1"/>
  <c r="K680" i="17"/>
  <c r="L680" i="17"/>
  <c r="M680" i="17" s="1"/>
  <c r="I681" i="17"/>
  <c r="N681" i="17" s="1" a="1"/>
  <c r="N681" i="17" s="1"/>
  <c r="J681" i="17"/>
  <c r="O681" i="17" s="1"/>
  <c r="K681" i="17"/>
  <c r="L681" i="17"/>
  <c r="M681" i="17" s="1"/>
  <c r="I682" i="17"/>
  <c r="N682" i="17" s="1" a="1"/>
  <c r="N682" i="17" s="1"/>
  <c r="J682" i="17"/>
  <c r="O682" i="17" s="1"/>
  <c r="K682" i="17"/>
  <c r="L682" i="17"/>
  <c r="M682" i="17" s="1"/>
  <c r="I683" i="17"/>
  <c r="N683" i="17" s="1" a="1"/>
  <c r="N683" i="17" s="1"/>
  <c r="J683" i="17"/>
  <c r="O683" i="17" s="1"/>
  <c r="K683" i="17"/>
  <c r="L683" i="17"/>
  <c r="M683" i="17" s="1"/>
  <c r="I684" i="17"/>
  <c r="N684" i="17" s="1" a="1"/>
  <c r="N684" i="17" s="1"/>
  <c r="J684" i="17"/>
  <c r="O684" i="17" s="1"/>
  <c r="K684" i="17"/>
  <c r="L684" i="17"/>
  <c r="M684" i="17" s="1"/>
  <c r="I685" i="17"/>
  <c r="N685" i="17" s="1" a="1"/>
  <c r="N685" i="17" s="1"/>
  <c r="J685" i="17"/>
  <c r="O685" i="17" s="1"/>
  <c r="K685" i="17"/>
  <c r="L685" i="17"/>
  <c r="M685" i="17" s="1"/>
  <c r="I686" i="17"/>
  <c r="N686" i="17" s="1" a="1"/>
  <c r="N686" i="17" s="1"/>
  <c r="J686" i="17"/>
  <c r="O686" i="17" s="1"/>
  <c r="K686" i="17"/>
  <c r="L686" i="17"/>
  <c r="M686" i="17" s="1"/>
  <c r="I687" i="17"/>
  <c r="N687" i="17" s="1" a="1"/>
  <c r="N687" i="17" s="1"/>
  <c r="J687" i="17"/>
  <c r="O687" i="17" s="1"/>
  <c r="K687" i="17"/>
  <c r="L687" i="17"/>
  <c r="M687" i="17" s="1"/>
  <c r="I688" i="17"/>
  <c r="N688" i="17" s="1" a="1"/>
  <c r="N688" i="17" s="1"/>
  <c r="J688" i="17"/>
  <c r="O688" i="17" s="1"/>
  <c r="K688" i="17"/>
  <c r="L688" i="17"/>
  <c r="M688" i="17" s="1"/>
  <c r="I689" i="17"/>
  <c r="N689" i="17" s="1" a="1"/>
  <c r="N689" i="17" s="1"/>
  <c r="J689" i="17"/>
  <c r="O689" i="17" s="1"/>
  <c r="K689" i="17"/>
  <c r="L689" i="17"/>
  <c r="M689" i="17" s="1"/>
  <c r="I690" i="17"/>
  <c r="N690" i="17" s="1" a="1"/>
  <c r="N690" i="17" s="1"/>
  <c r="J690" i="17"/>
  <c r="O690" i="17" s="1"/>
  <c r="K690" i="17"/>
  <c r="L690" i="17"/>
  <c r="M690" i="17" s="1"/>
  <c r="I691" i="17"/>
  <c r="N691" i="17" s="1" a="1"/>
  <c r="N691" i="17" s="1"/>
  <c r="J691" i="17"/>
  <c r="O691" i="17" s="1"/>
  <c r="K691" i="17"/>
  <c r="L691" i="17"/>
  <c r="M691" i="17" s="1"/>
  <c r="I692" i="17"/>
  <c r="N692" i="17" s="1" a="1"/>
  <c r="N692" i="17" s="1"/>
  <c r="J692" i="17"/>
  <c r="O692" i="17" s="1"/>
  <c r="K692" i="17"/>
  <c r="L692" i="17"/>
  <c r="M692" i="17" s="1"/>
  <c r="I693" i="17"/>
  <c r="N693" i="17" s="1" a="1"/>
  <c r="N693" i="17" s="1"/>
  <c r="J693" i="17"/>
  <c r="O693" i="17" s="1"/>
  <c r="K693" i="17"/>
  <c r="L693" i="17"/>
  <c r="M693" i="17" s="1"/>
  <c r="I694" i="17"/>
  <c r="N694" i="17" s="1" a="1"/>
  <c r="N694" i="17" s="1"/>
  <c r="J694" i="17"/>
  <c r="O694" i="17" s="1"/>
  <c r="K694" i="17"/>
  <c r="L694" i="17"/>
  <c r="M694" i="17" s="1"/>
  <c r="I695" i="17"/>
  <c r="N695" i="17" s="1" a="1"/>
  <c r="N695" i="17" s="1"/>
  <c r="J695" i="17"/>
  <c r="O695" i="17" s="1"/>
  <c r="K695" i="17"/>
  <c r="L695" i="17"/>
  <c r="M695" i="17" s="1"/>
  <c r="I696" i="17"/>
  <c r="N696" i="17" s="1" a="1"/>
  <c r="N696" i="17" s="1"/>
  <c r="J696" i="17"/>
  <c r="O696" i="17" s="1"/>
  <c r="K696" i="17"/>
  <c r="L696" i="17"/>
  <c r="M696" i="17" s="1"/>
  <c r="I697" i="17"/>
  <c r="N697" i="17" s="1" a="1"/>
  <c r="N697" i="17" s="1"/>
  <c r="J697" i="17"/>
  <c r="O697" i="17" s="1"/>
  <c r="K697" i="17"/>
  <c r="L697" i="17"/>
  <c r="M697" i="17" s="1"/>
  <c r="I698" i="17"/>
  <c r="N698" i="17" s="1" a="1"/>
  <c r="N698" i="17" s="1"/>
  <c r="J698" i="17"/>
  <c r="O698" i="17" s="1"/>
  <c r="K698" i="17"/>
  <c r="L698" i="17"/>
  <c r="M698" i="17" s="1"/>
  <c r="I699" i="17"/>
  <c r="N699" i="17" s="1" a="1"/>
  <c r="N699" i="17" s="1"/>
  <c r="J699" i="17"/>
  <c r="O699" i="17" s="1"/>
  <c r="K699" i="17"/>
  <c r="L699" i="17"/>
  <c r="M699" i="17" s="1"/>
  <c r="I700" i="17"/>
  <c r="N700" i="17" s="1" a="1"/>
  <c r="N700" i="17" s="1"/>
  <c r="J700" i="17"/>
  <c r="O700" i="17" s="1"/>
  <c r="K700" i="17"/>
  <c r="L700" i="17"/>
  <c r="M700" i="17" s="1"/>
  <c r="I701" i="17"/>
  <c r="N701" i="17" s="1" a="1"/>
  <c r="N701" i="17" s="1"/>
  <c r="J701" i="17"/>
  <c r="O701" i="17" s="1"/>
  <c r="K701" i="17"/>
  <c r="L701" i="17"/>
  <c r="M701" i="17" s="1"/>
  <c r="I702" i="17"/>
  <c r="N702" i="17" s="1" a="1"/>
  <c r="N702" i="17" s="1"/>
  <c r="J702" i="17"/>
  <c r="O702" i="17" s="1"/>
  <c r="K702" i="17"/>
  <c r="L702" i="17"/>
  <c r="M702" i="17" s="1"/>
  <c r="I703" i="17"/>
  <c r="N703" i="17" s="1" a="1"/>
  <c r="N703" i="17" s="1"/>
  <c r="J703" i="17"/>
  <c r="O703" i="17" s="1"/>
  <c r="K703" i="17"/>
  <c r="L703" i="17"/>
  <c r="M703" i="17" s="1"/>
  <c r="I704" i="17"/>
  <c r="N704" i="17" s="1" a="1"/>
  <c r="N704" i="17" s="1"/>
  <c r="J704" i="17"/>
  <c r="O704" i="17" s="1"/>
  <c r="K704" i="17"/>
  <c r="L704" i="17"/>
  <c r="M704" i="17" s="1"/>
  <c r="I705" i="17"/>
  <c r="N705" i="17" s="1" a="1"/>
  <c r="N705" i="17" s="1"/>
  <c r="J705" i="17"/>
  <c r="O705" i="17" s="1"/>
  <c r="K705" i="17"/>
  <c r="L705" i="17"/>
  <c r="M705" i="17" s="1"/>
  <c r="I706" i="17"/>
  <c r="N706" i="17" s="1" a="1"/>
  <c r="N706" i="17" s="1"/>
  <c r="J706" i="17"/>
  <c r="O706" i="17" s="1"/>
  <c r="K706" i="17"/>
  <c r="L706" i="17"/>
  <c r="M706" i="17" s="1"/>
  <c r="I707" i="17"/>
  <c r="N707" i="17" s="1" a="1"/>
  <c r="N707" i="17" s="1"/>
  <c r="J707" i="17"/>
  <c r="O707" i="17" s="1"/>
  <c r="K707" i="17"/>
  <c r="L707" i="17"/>
  <c r="M707" i="17" s="1"/>
  <c r="I708" i="17"/>
  <c r="N708" i="17" s="1" a="1"/>
  <c r="N708" i="17" s="1"/>
  <c r="J708" i="17"/>
  <c r="O708" i="17" s="1"/>
  <c r="K708" i="17"/>
  <c r="L708" i="17"/>
  <c r="M708" i="17" s="1"/>
  <c r="I709" i="17"/>
  <c r="N709" i="17" s="1" a="1"/>
  <c r="N709" i="17" s="1"/>
  <c r="J709" i="17"/>
  <c r="O709" i="17" s="1"/>
  <c r="K709" i="17"/>
  <c r="L709" i="17"/>
  <c r="M709" i="17" s="1"/>
  <c r="I710" i="17"/>
  <c r="N710" i="17" s="1" a="1"/>
  <c r="N710" i="17" s="1"/>
  <c r="J710" i="17"/>
  <c r="O710" i="17" s="1"/>
  <c r="K710" i="17"/>
  <c r="L710" i="17"/>
  <c r="M710" i="17" s="1"/>
  <c r="I711" i="17"/>
  <c r="N711" i="17" s="1" a="1"/>
  <c r="N711" i="17" s="1"/>
  <c r="J711" i="17"/>
  <c r="O711" i="17" s="1"/>
  <c r="K711" i="17"/>
  <c r="L711" i="17"/>
  <c r="M711" i="17" s="1"/>
  <c r="I712" i="17"/>
  <c r="N712" i="17" s="1" a="1"/>
  <c r="N712" i="17" s="1"/>
  <c r="J712" i="17"/>
  <c r="O712" i="17" s="1"/>
  <c r="K712" i="17"/>
  <c r="L712" i="17"/>
  <c r="M712" i="17" s="1"/>
  <c r="I713" i="17"/>
  <c r="N713" i="17" s="1" a="1"/>
  <c r="N713" i="17" s="1"/>
  <c r="J713" i="17"/>
  <c r="O713" i="17" s="1"/>
  <c r="K713" i="17"/>
  <c r="L713" i="17"/>
  <c r="M713" i="17" s="1"/>
  <c r="I714" i="17"/>
  <c r="N714" i="17" s="1" a="1"/>
  <c r="N714" i="17" s="1"/>
  <c r="J714" i="17"/>
  <c r="O714" i="17" s="1"/>
  <c r="K714" i="17"/>
  <c r="L714" i="17"/>
  <c r="M714" i="17" s="1"/>
  <c r="I715" i="17"/>
  <c r="N715" i="17" s="1" a="1"/>
  <c r="N715" i="17" s="1"/>
  <c r="J715" i="17"/>
  <c r="O715" i="17" s="1"/>
  <c r="K715" i="17"/>
  <c r="L715" i="17"/>
  <c r="M715" i="17" s="1"/>
  <c r="I716" i="17"/>
  <c r="N716" i="17" s="1" a="1"/>
  <c r="N716" i="17" s="1"/>
  <c r="J716" i="17"/>
  <c r="O716" i="17" s="1"/>
  <c r="K716" i="17"/>
  <c r="L716" i="17"/>
  <c r="M716" i="17" s="1"/>
  <c r="I717" i="17"/>
  <c r="N717" i="17" s="1" a="1"/>
  <c r="N717" i="17" s="1"/>
  <c r="J717" i="17"/>
  <c r="O717" i="17" s="1"/>
  <c r="K717" i="17"/>
  <c r="L717" i="17"/>
  <c r="M717" i="17" s="1"/>
  <c r="I718" i="17"/>
  <c r="N718" i="17" s="1" a="1"/>
  <c r="N718" i="17" s="1"/>
  <c r="J718" i="17"/>
  <c r="O718" i="17" s="1"/>
  <c r="K718" i="17"/>
  <c r="L718" i="17"/>
  <c r="M718" i="17" s="1"/>
  <c r="I719" i="17"/>
  <c r="N719" i="17" s="1" a="1"/>
  <c r="N719" i="17" s="1"/>
  <c r="J719" i="17"/>
  <c r="O719" i="17" s="1"/>
  <c r="K719" i="17"/>
  <c r="L719" i="17"/>
  <c r="M719" i="17" s="1"/>
  <c r="I720" i="17"/>
  <c r="N720" i="17" s="1" a="1"/>
  <c r="N720" i="17" s="1"/>
  <c r="J720" i="17"/>
  <c r="O720" i="17" s="1"/>
  <c r="K720" i="17"/>
  <c r="L720" i="17"/>
  <c r="M720" i="17" s="1"/>
  <c r="I721" i="17"/>
  <c r="N721" i="17" s="1" a="1"/>
  <c r="N721" i="17" s="1"/>
  <c r="J721" i="17"/>
  <c r="O721" i="17" s="1"/>
  <c r="K721" i="17"/>
  <c r="L721" i="17"/>
  <c r="M721" i="17" s="1"/>
  <c r="I722" i="17"/>
  <c r="N722" i="17" s="1" a="1"/>
  <c r="N722" i="17" s="1"/>
  <c r="J722" i="17"/>
  <c r="O722" i="17" s="1"/>
  <c r="K722" i="17"/>
  <c r="L722" i="17"/>
  <c r="M722" i="17" s="1"/>
  <c r="I723" i="17"/>
  <c r="N723" i="17" s="1" a="1"/>
  <c r="N723" i="17" s="1"/>
  <c r="J723" i="17"/>
  <c r="O723" i="17" s="1"/>
  <c r="K723" i="17"/>
  <c r="L723" i="17"/>
  <c r="M723" i="17" s="1"/>
  <c r="I724" i="17"/>
  <c r="N724" i="17" s="1" a="1"/>
  <c r="N724" i="17" s="1"/>
  <c r="J724" i="17"/>
  <c r="O724" i="17" s="1"/>
  <c r="K724" i="17"/>
  <c r="L724" i="17"/>
  <c r="M724" i="17" s="1"/>
  <c r="I725" i="17"/>
  <c r="N725" i="17" s="1" a="1"/>
  <c r="N725" i="17" s="1"/>
  <c r="J725" i="17"/>
  <c r="O725" i="17" s="1"/>
  <c r="K725" i="17"/>
  <c r="L725" i="17"/>
  <c r="M725" i="17" s="1"/>
  <c r="I726" i="17"/>
  <c r="N726" i="17" s="1" a="1"/>
  <c r="N726" i="17" s="1"/>
  <c r="J726" i="17"/>
  <c r="O726" i="17" s="1"/>
  <c r="K726" i="17"/>
  <c r="L726" i="17"/>
  <c r="M726" i="17" s="1"/>
  <c r="I727" i="17"/>
  <c r="N727" i="17" s="1" a="1"/>
  <c r="N727" i="17" s="1"/>
  <c r="J727" i="17"/>
  <c r="O727" i="17" s="1"/>
  <c r="K727" i="17"/>
  <c r="L727" i="17"/>
  <c r="M727" i="17" s="1"/>
  <c r="I728" i="17"/>
  <c r="N728" i="17" s="1" a="1"/>
  <c r="N728" i="17" s="1"/>
  <c r="J728" i="17"/>
  <c r="O728" i="17" s="1"/>
  <c r="K728" i="17"/>
  <c r="L728" i="17"/>
  <c r="M728" i="17" s="1"/>
  <c r="I729" i="17"/>
  <c r="N729" i="17" s="1" a="1"/>
  <c r="N729" i="17" s="1"/>
  <c r="J729" i="17"/>
  <c r="O729" i="17" s="1"/>
  <c r="K729" i="17"/>
  <c r="L729" i="17"/>
  <c r="M729" i="17" s="1"/>
  <c r="I730" i="17"/>
  <c r="N730" i="17" s="1" a="1"/>
  <c r="N730" i="17" s="1"/>
  <c r="J730" i="17"/>
  <c r="O730" i="17" s="1"/>
  <c r="K730" i="17"/>
  <c r="L730" i="17"/>
  <c r="M730" i="17" s="1"/>
  <c r="I731" i="17"/>
  <c r="N731" i="17" s="1" a="1"/>
  <c r="N731" i="17" s="1"/>
  <c r="J731" i="17"/>
  <c r="O731" i="17" s="1"/>
  <c r="K731" i="17"/>
  <c r="L731" i="17"/>
  <c r="M731" i="17" s="1"/>
  <c r="I732" i="17"/>
  <c r="N732" i="17" s="1" a="1"/>
  <c r="N732" i="17" s="1"/>
  <c r="J732" i="17"/>
  <c r="O732" i="17" s="1"/>
  <c r="K732" i="17"/>
  <c r="L732" i="17"/>
  <c r="M732" i="17" s="1"/>
  <c r="I733" i="17"/>
  <c r="N733" i="17" s="1" a="1"/>
  <c r="N733" i="17" s="1"/>
  <c r="J733" i="17"/>
  <c r="O733" i="17" s="1"/>
  <c r="K733" i="17"/>
  <c r="L733" i="17"/>
  <c r="M733" i="17" s="1"/>
  <c r="I734" i="17"/>
  <c r="N734" i="17" s="1" a="1"/>
  <c r="N734" i="17" s="1"/>
  <c r="J734" i="17"/>
  <c r="O734" i="17" s="1"/>
  <c r="K734" i="17"/>
  <c r="L734" i="17"/>
  <c r="M734" i="17" s="1"/>
  <c r="I735" i="17"/>
  <c r="N735" i="17" s="1" a="1"/>
  <c r="N735" i="17" s="1"/>
  <c r="J735" i="17"/>
  <c r="O735" i="17" s="1"/>
  <c r="K735" i="17"/>
  <c r="L735" i="17"/>
  <c r="M735" i="17" s="1"/>
  <c r="I736" i="17"/>
  <c r="N736" i="17" s="1" a="1"/>
  <c r="N736" i="17" s="1"/>
  <c r="J736" i="17"/>
  <c r="O736" i="17" s="1"/>
  <c r="K736" i="17"/>
  <c r="L736" i="17"/>
  <c r="M736" i="17" s="1"/>
  <c r="I737" i="17"/>
  <c r="N737" i="17" s="1" a="1"/>
  <c r="N737" i="17" s="1"/>
  <c r="J737" i="17"/>
  <c r="O737" i="17" s="1"/>
  <c r="K737" i="17"/>
  <c r="L737" i="17"/>
  <c r="M737" i="17" s="1"/>
  <c r="I738" i="17"/>
  <c r="N738" i="17" s="1" a="1"/>
  <c r="N738" i="17" s="1"/>
  <c r="J738" i="17"/>
  <c r="O738" i="17" s="1"/>
  <c r="K738" i="17"/>
  <c r="L738" i="17"/>
  <c r="M738" i="17" s="1"/>
  <c r="I739" i="17"/>
  <c r="N739" i="17" s="1" a="1"/>
  <c r="N739" i="17" s="1"/>
  <c r="J739" i="17"/>
  <c r="O739" i="17" s="1"/>
  <c r="K739" i="17"/>
  <c r="L739" i="17"/>
  <c r="M739" i="17" s="1"/>
  <c r="I740" i="17"/>
  <c r="N740" i="17" s="1" a="1"/>
  <c r="N740" i="17" s="1"/>
  <c r="J740" i="17"/>
  <c r="O740" i="17" s="1"/>
  <c r="K740" i="17"/>
  <c r="L740" i="17"/>
  <c r="M740" i="17" s="1"/>
  <c r="I741" i="17"/>
  <c r="N741" i="17" s="1" a="1"/>
  <c r="N741" i="17" s="1"/>
  <c r="J741" i="17"/>
  <c r="O741" i="17" s="1"/>
  <c r="K741" i="17"/>
  <c r="L741" i="17"/>
  <c r="M741" i="17" s="1"/>
  <c r="I742" i="17"/>
  <c r="N742" i="17" s="1" a="1"/>
  <c r="N742" i="17" s="1"/>
  <c r="J742" i="17"/>
  <c r="O742" i="17" s="1"/>
  <c r="K742" i="17"/>
  <c r="L742" i="17"/>
  <c r="M742" i="17" s="1"/>
  <c r="I743" i="17"/>
  <c r="N743" i="17" s="1" a="1"/>
  <c r="N743" i="17" s="1"/>
  <c r="J743" i="17"/>
  <c r="O743" i="17" s="1"/>
  <c r="K743" i="17"/>
  <c r="L743" i="17"/>
  <c r="M743" i="17" s="1"/>
  <c r="I744" i="17"/>
  <c r="N744" i="17" s="1" a="1"/>
  <c r="N744" i="17" s="1"/>
  <c r="J744" i="17"/>
  <c r="O744" i="17" s="1"/>
  <c r="K744" i="17"/>
  <c r="L744" i="17"/>
  <c r="M744" i="17" s="1"/>
  <c r="I745" i="17"/>
  <c r="N745" i="17" s="1" a="1"/>
  <c r="N745" i="17" s="1"/>
  <c r="J745" i="17"/>
  <c r="O745" i="17" s="1"/>
  <c r="K745" i="17"/>
  <c r="L745" i="17"/>
  <c r="M745" i="17" s="1"/>
  <c r="I746" i="17"/>
  <c r="N746" i="17" s="1" a="1"/>
  <c r="N746" i="17" s="1"/>
  <c r="J746" i="17"/>
  <c r="O746" i="17" s="1"/>
  <c r="K746" i="17"/>
  <c r="L746" i="17"/>
  <c r="M746" i="17" s="1"/>
  <c r="I747" i="17"/>
  <c r="N747" i="17" s="1" a="1"/>
  <c r="N747" i="17" s="1"/>
  <c r="J747" i="17"/>
  <c r="O747" i="17" s="1"/>
  <c r="K747" i="17"/>
  <c r="L747" i="17"/>
  <c r="M747" i="17" s="1"/>
  <c r="I748" i="17"/>
  <c r="N748" i="17" s="1" a="1"/>
  <c r="N748" i="17" s="1"/>
  <c r="J748" i="17"/>
  <c r="O748" i="17" s="1"/>
  <c r="K748" i="17"/>
  <c r="L748" i="17"/>
  <c r="M748" i="17" s="1"/>
  <c r="I749" i="17"/>
  <c r="N749" i="17" s="1" a="1"/>
  <c r="N749" i="17" s="1"/>
  <c r="J749" i="17"/>
  <c r="O749" i="17" s="1"/>
  <c r="K749" i="17"/>
  <c r="L749" i="17"/>
  <c r="M749" i="17" s="1"/>
  <c r="I750" i="17"/>
  <c r="N750" i="17" s="1" a="1"/>
  <c r="N750" i="17" s="1"/>
  <c r="J750" i="17"/>
  <c r="O750" i="17" s="1"/>
  <c r="K750" i="17"/>
  <c r="L750" i="17"/>
  <c r="M750" i="17" s="1"/>
  <c r="I751" i="17"/>
  <c r="N751" i="17" s="1" a="1"/>
  <c r="N751" i="17" s="1"/>
  <c r="J751" i="17"/>
  <c r="O751" i="17" s="1"/>
  <c r="K751" i="17"/>
  <c r="L751" i="17"/>
  <c r="M751" i="17" s="1"/>
  <c r="I752" i="17"/>
  <c r="N752" i="17" s="1" a="1"/>
  <c r="N752" i="17" s="1"/>
  <c r="J752" i="17"/>
  <c r="O752" i="17" s="1"/>
  <c r="K752" i="17"/>
  <c r="L752" i="17"/>
  <c r="M752" i="17" s="1"/>
  <c r="I753" i="17"/>
  <c r="N753" i="17" s="1" a="1"/>
  <c r="N753" i="17" s="1"/>
  <c r="J753" i="17"/>
  <c r="O753" i="17" s="1"/>
  <c r="K753" i="17"/>
  <c r="L753" i="17"/>
  <c r="M753" i="17" s="1"/>
  <c r="I754" i="17"/>
  <c r="N754" i="17" s="1" a="1"/>
  <c r="N754" i="17" s="1"/>
  <c r="J754" i="17"/>
  <c r="O754" i="17" s="1"/>
  <c r="K754" i="17"/>
  <c r="L754" i="17"/>
  <c r="M754" i="17" s="1"/>
  <c r="I755" i="17"/>
  <c r="N755" i="17" s="1" a="1"/>
  <c r="N755" i="17" s="1"/>
  <c r="J755" i="17"/>
  <c r="O755" i="17" s="1"/>
  <c r="K755" i="17"/>
  <c r="L755" i="17"/>
  <c r="M755" i="17" s="1"/>
  <c r="I756" i="17"/>
  <c r="N756" i="17" s="1" a="1"/>
  <c r="N756" i="17" s="1"/>
  <c r="J756" i="17"/>
  <c r="O756" i="17" s="1"/>
  <c r="K756" i="17"/>
  <c r="L756" i="17"/>
  <c r="M756" i="17" s="1"/>
  <c r="I757" i="17"/>
  <c r="N757" i="17" s="1" a="1"/>
  <c r="N757" i="17" s="1"/>
  <c r="J757" i="17"/>
  <c r="O757" i="17" s="1"/>
  <c r="K757" i="17"/>
  <c r="L757" i="17"/>
  <c r="M757" i="17" s="1"/>
  <c r="I758" i="17"/>
  <c r="N758" i="17" s="1" a="1"/>
  <c r="N758" i="17" s="1"/>
  <c r="J758" i="17"/>
  <c r="O758" i="17" s="1"/>
  <c r="K758" i="17"/>
  <c r="L758" i="17"/>
  <c r="M758" i="17" s="1"/>
  <c r="I759" i="17"/>
  <c r="N759" i="17" s="1" a="1"/>
  <c r="N759" i="17" s="1"/>
  <c r="J759" i="17"/>
  <c r="O759" i="17" s="1"/>
  <c r="K759" i="17"/>
  <c r="L759" i="17"/>
  <c r="M759" i="17" s="1"/>
  <c r="I760" i="17"/>
  <c r="N760" i="17" s="1" a="1"/>
  <c r="N760" i="17" s="1"/>
  <c r="J760" i="17"/>
  <c r="O760" i="17" s="1"/>
  <c r="K760" i="17"/>
  <c r="L760" i="17"/>
  <c r="M760" i="17" s="1"/>
  <c r="I761" i="17"/>
  <c r="N761" i="17" s="1" a="1"/>
  <c r="N761" i="17" s="1"/>
  <c r="J761" i="17"/>
  <c r="O761" i="17" s="1"/>
  <c r="K761" i="17"/>
  <c r="L761" i="17"/>
  <c r="M761" i="17" s="1"/>
  <c r="I762" i="17"/>
  <c r="N762" i="17" s="1" a="1"/>
  <c r="N762" i="17" s="1"/>
  <c r="J762" i="17"/>
  <c r="O762" i="17" s="1"/>
  <c r="K762" i="17"/>
  <c r="L762" i="17"/>
  <c r="M762" i="17" s="1"/>
  <c r="I763" i="17"/>
  <c r="N763" i="17" s="1" a="1"/>
  <c r="N763" i="17" s="1"/>
  <c r="J763" i="17"/>
  <c r="O763" i="17" s="1"/>
  <c r="K763" i="17"/>
  <c r="L763" i="17"/>
  <c r="M763" i="17" s="1"/>
  <c r="I764" i="17"/>
  <c r="N764" i="17" s="1" a="1"/>
  <c r="N764" i="17" s="1"/>
  <c r="J764" i="17"/>
  <c r="O764" i="17" s="1"/>
  <c r="K764" i="17"/>
  <c r="L764" i="17"/>
  <c r="M764" i="17" s="1"/>
  <c r="I765" i="17"/>
  <c r="N765" i="17" s="1" a="1"/>
  <c r="N765" i="17" s="1"/>
  <c r="J765" i="17"/>
  <c r="O765" i="17" s="1"/>
  <c r="K765" i="17"/>
  <c r="L765" i="17"/>
  <c r="M765" i="17" s="1"/>
  <c r="I766" i="17"/>
  <c r="N766" i="17" s="1" a="1"/>
  <c r="N766" i="17" s="1"/>
  <c r="J766" i="17"/>
  <c r="O766" i="17" s="1"/>
  <c r="K766" i="17"/>
  <c r="L766" i="17"/>
  <c r="M766" i="17" s="1"/>
  <c r="I767" i="17"/>
  <c r="N767" i="17" s="1" a="1"/>
  <c r="N767" i="17" s="1"/>
  <c r="J767" i="17"/>
  <c r="O767" i="17" s="1"/>
  <c r="K767" i="17"/>
  <c r="L767" i="17"/>
  <c r="M767" i="17" s="1"/>
  <c r="I768" i="17"/>
  <c r="N768" i="17" s="1" a="1"/>
  <c r="N768" i="17" s="1"/>
  <c r="J768" i="17"/>
  <c r="O768" i="17" s="1"/>
  <c r="K768" i="17"/>
  <c r="L768" i="17"/>
  <c r="M768" i="17" s="1"/>
  <c r="I769" i="17"/>
  <c r="N769" i="17" s="1" a="1"/>
  <c r="N769" i="17" s="1"/>
  <c r="J769" i="17"/>
  <c r="O769" i="17" s="1"/>
  <c r="K769" i="17"/>
  <c r="L769" i="17"/>
  <c r="M769" i="17" s="1"/>
  <c r="I770" i="17"/>
  <c r="N770" i="17" s="1" a="1"/>
  <c r="N770" i="17" s="1"/>
  <c r="J770" i="17"/>
  <c r="O770" i="17" s="1"/>
  <c r="K770" i="17"/>
  <c r="L770" i="17"/>
  <c r="M770" i="17" s="1"/>
  <c r="I771" i="17"/>
  <c r="N771" i="17" s="1" a="1"/>
  <c r="N771" i="17" s="1"/>
  <c r="J771" i="17"/>
  <c r="O771" i="17" s="1"/>
  <c r="K771" i="17"/>
  <c r="L771" i="17"/>
  <c r="M771" i="17" s="1"/>
  <c r="I772" i="17"/>
  <c r="N772" i="17" s="1" a="1"/>
  <c r="N772" i="17" s="1"/>
  <c r="J772" i="17"/>
  <c r="O772" i="17" s="1"/>
  <c r="K772" i="17"/>
  <c r="L772" i="17"/>
  <c r="M772" i="17" s="1"/>
  <c r="I773" i="17"/>
  <c r="N773" i="17" s="1" a="1"/>
  <c r="N773" i="17" s="1"/>
  <c r="J773" i="17"/>
  <c r="O773" i="17" s="1"/>
  <c r="K773" i="17"/>
  <c r="L773" i="17"/>
  <c r="M773" i="17" s="1"/>
  <c r="I774" i="17"/>
  <c r="N774" i="17" s="1" a="1"/>
  <c r="N774" i="17" s="1"/>
  <c r="J774" i="17"/>
  <c r="O774" i="17" s="1"/>
  <c r="K774" i="17"/>
  <c r="L774" i="17"/>
  <c r="M774" i="17" s="1"/>
  <c r="I775" i="17"/>
  <c r="N775" i="17" s="1" a="1"/>
  <c r="N775" i="17" s="1"/>
  <c r="J775" i="17"/>
  <c r="O775" i="17" s="1"/>
  <c r="K775" i="17"/>
  <c r="L775" i="17"/>
  <c r="M775" i="17" s="1"/>
  <c r="I776" i="17"/>
  <c r="N776" i="17" s="1" a="1"/>
  <c r="N776" i="17" s="1"/>
  <c r="J776" i="17"/>
  <c r="O776" i="17" s="1"/>
  <c r="K776" i="17"/>
  <c r="L776" i="17"/>
  <c r="M776" i="17" s="1"/>
  <c r="I777" i="17"/>
  <c r="N777" i="17" s="1" a="1"/>
  <c r="N777" i="17" s="1"/>
  <c r="J777" i="17"/>
  <c r="O777" i="17" s="1"/>
  <c r="K777" i="17"/>
  <c r="L777" i="17"/>
  <c r="M777" i="17" s="1"/>
  <c r="I778" i="17"/>
  <c r="N778" i="17" s="1" a="1"/>
  <c r="N778" i="17" s="1"/>
  <c r="J778" i="17"/>
  <c r="O778" i="17" s="1"/>
  <c r="K778" i="17"/>
  <c r="L778" i="17"/>
  <c r="M778" i="17" s="1"/>
  <c r="I779" i="17"/>
  <c r="N779" i="17" s="1" a="1"/>
  <c r="N779" i="17" s="1"/>
  <c r="J779" i="17"/>
  <c r="O779" i="17" s="1"/>
  <c r="K779" i="17"/>
  <c r="L779" i="17"/>
  <c r="M779" i="17" s="1"/>
  <c r="I780" i="17"/>
  <c r="N780" i="17" s="1" a="1"/>
  <c r="N780" i="17" s="1"/>
  <c r="J780" i="17"/>
  <c r="O780" i="17" s="1"/>
  <c r="K780" i="17"/>
  <c r="L780" i="17"/>
  <c r="M780" i="17" s="1"/>
  <c r="I781" i="17"/>
  <c r="N781" i="17" s="1" a="1"/>
  <c r="N781" i="17" s="1"/>
  <c r="J781" i="17"/>
  <c r="O781" i="17" s="1"/>
  <c r="K781" i="17"/>
  <c r="L781" i="17"/>
  <c r="M781" i="17" s="1"/>
  <c r="I782" i="17"/>
  <c r="N782" i="17" s="1" a="1"/>
  <c r="N782" i="17" s="1"/>
  <c r="J782" i="17"/>
  <c r="O782" i="17" s="1"/>
  <c r="K782" i="17"/>
  <c r="L782" i="17"/>
  <c r="M782" i="17" s="1"/>
  <c r="I783" i="17"/>
  <c r="N783" i="17" s="1" a="1"/>
  <c r="N783" i="17" s="1"/>
  <c r="J783" i="17"/>
  <c r="O783" i="17" s="1"/>
  <c r="K783" i="17"/>
  <c r="L783" i="17"/>
  <c r="M783" i="17" s="1"/>
  <c r="I784" i="17"/>
  <c r="N784" i="17" s="1" a="1"/>
  <c r="N784" i="17" s="1"/>
  <c r="J784" i="17"/>
  <c r="O784" i="17" s="1"/>
  <c r="K784" i="17"/>
  <c r="L784" i="17"/>
  <c r="M784" i="17" s="1"/>
  <c r="I785" i="17"/>
  <c r="N785" i="17" s="1" a="1"/>
  <c r="N785" i="17" s="1"/>
  <c r="J785" i="17"/>
  <c r="O785" i="17" s="1"/>
  <c r="K785" i="17"/>
  <c r="L785" i="17"/>
  <c r="M785" i="17" s="1"/>
  <c r="I786" i="17"/>
  <c r="N786" i="17" s="1" a="1"/>
  <c r="N786" i="17" s="1"/>
  <c r="J786" i="17"/>
  <c r="O786" i="17" s="1"/>
  <c r="K786" i="17"/>
  <c r="L786" i="17"/>
  <c r="M786" i="17" s="1"/>
  <c r="I787" i="17"/>
  <c r="N787" i="17" s="1" a="1"/>
  <c r="N787" i="17" s="1"/>
  <c r="J787" i="17"/>
  <c r="O787" i="17" s="1"/>
  <c r="K787" i="17"/>
  <c r="L787" i="17"/>
  <c r="M787" i="17" s="1"/>
  <c r="I788" i="17"/>
  <c r="N788" i="17" s="1" a="1"/>
  <c r="N788" i="17" s="1"/>
  <c r="J788" i="17"/>
  <c r="O788" i="17" s="1"/>
  <c r="K788" i="17"/>
  <c r="L788" i="17"/>
  <c r="M788" i="17" s="1"/>
  <c r="I789" i="17"/>
  <c r="N789" i="17" s="1" a="1"/>
  <c r="N789" i="17" s="1"/>
  <c r="J789" i="17"/>
  <c r="O789" i="17" s="1"/>
  <c r="K789" i="17"/>
  <c r="L789" i="17"/>
  <c r="M789" i="17" s="1"/>
  <c r="I790" i="17"/>
  <c r="N790" i="17" s="1" a="1"/>
  <c r="N790" i="17" s="1"/>
  <c r="J790" i="17"/>
  <c r="O790" i="17" s="1"/>
  <c r="K790" i="17"/>
  <c r="L790" i="17"/>
  <c r="M790" i="17" s="1"/>
  <c r="I791" i="17"/>
  <c r="N791" i="17" s="1" a="1"/>
  <c r="N791" i="17" s="1"/>
  <c r="J791" i="17"/>
  <c r="O791" i="17" s="1"/>
  <c r="K791" i="17"/>
  <c r="L791" i="17"/>
  <c r="M791" i="17" s="1"/>
  <c r="I792" i="17"/>
  <c r="N792" i="17" s="1" a="1"/>
  <c r="N792" i="17" s="1"/>
  <c r="J792" i="17"/>
  <c r="O792" i="17" s="1"/>
  <c r="K792" i="17"/>
  <c r="L792" i="17"/>
  <c r="M792" i="17" s="1"/>
  <c r="I793" i="17"/>
  <c r="N793" i="17" s="1" a="1"/>
  <c r="N793" i="17" s="1"/>
  <c r="J793" i="17"/>
  <c r="O793" i="17" s="1"/>
  <c r="K793" i="17"/>
  <c r="L793" i="17"/>
  <c r="M793" i="17" s="1"/>
  <c r="I794" i="17"/>
  <c r="N794" i="17" s="1" a="1"/>
  <c r="N794" i="17" s="1"/>
  <c r="J794" i="17"/>
  <c r="O794" i="17" s="1"/>
  <c r="K794" i="17"/>
  <c r="L794" i="17"/>
  <c r="M794" i="17" s="1"/>
  <c r="I795" i="17"/>
  <c r="N795" i="17" s="1" a="1"/>
  <c r="N795" i="17" s="1"/>
  <c r="J795" i="17"/>
  <c r="O795" i="17" s="1"/>
  <c r="K795" i="17"/>
  <c r="L795" i="17"/>
  <c r="M795" i="17" s="1"/>
  <c r="I796" i="17"/>
  <c r="N796" i="17" s="1" a="1"/>
  <c r="N796" i="17" s="1"/>
  <c r="J796" i="17"/>
  <c r="O796" i="17" s="1"/>
  <c r="K796" i="17"/>
  <c r="L796" i="17"/>
  <c r="M796" i="17" s="1"/>
  <c r="I797" i="17"/>
  <c r="N797" i="17" s="1" a="1"/>
  <c r="N797" i="17" s="1"/>
  <c r="J797" i="17"/>
  <c r="O797" i="17" s="1"/>
  <c r="K797" i="17"/>
  <c r="L797" i="17"/>
  <c r="M797" i="17" s="1"/>
  <c r="I798" i="17"/>
  <c r="N798" i="17" s="1" a="1"/>
  <c r="N798" i="17" s="1"/>
  <c r="J798" i="17"/>
  <c r="O798" i="17" s="1"/>
  <c r="K798" i="17"/>
  <c r="L798" i="17"/>
  <c r="M798" i="17" s="1"/>
  <c r="I799" i="17"/>
  <c r="N799" i="17" s="1" a="1"/>
  <c r="N799" i="17" s="1"/>
  <c r="J799" i="17"/>
  <c r="O799" i="17" s="1"/>
  <c r="K799" i="17"/>
  <c r="L799" i="17"/>
  <c r="M799" i="17" s="1"/>
  <c r="I800" i="17"/>
  <c r="N800" i="17" s="1" a="1"/>
  <c r="N800" i="17" s="1"/>
  <c r="J800" i="17"/>
  <c r="O800" i="17" s="1"/>
  <c r="K800" i="17"/>
  <c r="L800" i="17"/>
  <c r="M800" i="17" s="1"/>
  <c r="I801" i="17"/>
  <c r="N801" i="17" s="1" a="1"/>
  <c r="N801" i="17" s="1"/>
  <c r="J801" i="17"/>
  <c r="O801" i="17" s="1"/>
  <c r="K801" i="17"/>
  <c r="L801" i="17"/>
  <c r="M801" i="17" s="1"/>
  <c r="I802" i="17"/>
  <c r="N802" i="17" s="1" a="1"/>
  <c r="N802" i="17" s="1"/>
  <c r="J802" i="17"/>
  <c r="O802" i="17" s="1"/>
  <c r="K802" i="17"/>
  <c r="L802" i="17"/>
  <c r="M802" i="17" s="1"/>
  <c r="I803" i="17"/>
  <c r="N803" i="17" s="1" a="1"/>
  <c r="N803" i="17" s="1"/>
  <c r="J803" i="17"/>
  <c r="O803" i="17" s="1"/>
  <c r="K803" i="17"/>
  <c r="L803" i="17"/>
  <c r="M803" i="17" s="1"/>
  <c r="I804" i="17"/>
  <c r="N804" i="17" s="1" a="1"/>
  <c r="N804" i="17" s="1"/>
  <c r="J804" i="17"/>
  <c r="O804" i="17" s="1"/>
  <c r="K804" i="17"/>
  <c r="L804" i="17"/>
  <c r="M804" i="17" s="1"/>
  <c r="I805" i="17"/>
  <c r="N805" i="17" s="1" a="1"/>
  <c r="N805" i="17" s="1"/>
  <c r="J805" i="17"/>
  <c r="O805" i="17" s="1"/>
  <c r="K805" i="17"/>
  <c r="L805" i="17"/>
  <c r="M805" i="17" s="1"/>
  <c r="I806" i="17"/>
  <c r="N806" i="17" s="1" a="1"/>
  <c r="N806" i="17" s="1"/>
  <c r="J806" i="17"/>
  <c r="O806" i="17" s="1"/>
  <c r="K806" i="17"/>
  <c r="L806" i="17"/>
  <c r="M806" i="17" s="1"/>
  <c r="I807" i="17"/>
  <c r="N807" i="17" s="1" a="1"/>
  <c r="N807" i="17" s="1"/>
  <c r="J807" i="17"/>
  <c r="O807" i="17" s="1"/>
  <c r="K807" i="17"/>
  <c r="L807" i="17"/>
  <c r="M807" i="17" s="1"/>
  <c r="I808" i="17"/>
  <c r="N808" i="17" s="1" a="1"/>
  <c r="N808" i="17" s="1"/>
  <c r="J808" i="17"/>
  <c r="O808" i="17" s="1"/>
  <c r="K808" i="17"/>
  <c r="L808" i="17"/>
  <c r="M808" i="17" s="1"/>
  <c r="I809" i="17"/>
  <c r="N809" i="17" s="1" a="1"/>
  <c r="N809" i="17" s="1"/>
  <c r="J809" i="17"/>
  <c r="O809" i="17" s="1"/>
  <c r="K809" i="17"/>
  <c r="L809" i="17"/>
  <c r="M809" i="17" s="1"/>
  <c r="I810" i="17"/>
  <c r="N810" i="17" s="1" a="1"/>
  <c r="N810" i="17" s="1"/>
  <c r="J810" i="17"/>
  <c r="O810" i="17" s="1"/>
  <c r="K810" i="17"/>
  <c r="L810" i="17"/>
  <c r="M810" i="17" s="1"/>
  <c r="I811" i="17"/>
  <c r="N811" i="17" s="1" a="1"/>
  <c r="N811" i="17" s="1"/>
  <c r="J811" i="17"/>
  <c r="O811" i="17" s="1"/>
  <c r="K811" i="17"/>
  <c r="L811" i="17"/>
  <c r="M811" i="17" s="1"/>
  <c r="I812" i="17"/>
  <c r="N812" i="17" s="1" a="1"/>
  <c r="N812" i="17" s="1"/>
  <c r="J812" i="17"/>
  <c r="O812" i="17" s="1"/>
  <c r="K812" i="17"/>
  <c r="L812" i="17"/>
  <c r="M812" i="17" s="1"/>
  <c r="I813" i="17"/>
  <c r="N813" i="17" s="1" a="1"/>
  <c r="N813" i="17" s="1"/>
  <c r="J813" i="17"/>
  <c r="O813" i="17" s="1"/>
  <c r="K813" i="17"/>
  <c r="L813" i="17"/>
  <c r="M813" i="17" s="1"/>
  <c r="I814" i="17"/>
  <c r="N814" i="17" s="1" a="1"/>
  <c r="N814" i="17" s="1"/>
  <c r="J814" i="17"/>
  <c r="O814" i="17" s="1"/>
  <c r="K814" i="17"/>
  <c r="L814" i="17"/>
  <c r="M814" i="17" s="1"/>
  <c r="I815" i="17"/>
  <c r="N815" i="17" s="1" a="1"/>
  <c r="N815" i="17" s="1"/>
  <c r="J815" i="17"/>
  <c r="O815" i="17" s="1"/>
  <c r="K815" i="17"/>
  <c r="L815" i="17"/>
  <c r="M815" i="17" s="1"/>
  <c r="I816" i="17"/>
  <c r="N816" i="17" s="1" a="1"/>
  <c r="N816" i="17" s="1"/>
  <c r="J816" i="17"/>
  <c r="O816" i="17" s="1"/>
  <c r="K816" i="17"/>
  <c r="L816" i="17"/>
  <c r="M816" i="17" s="1"/>
  <c r="I817" i="17"/>
  <c r="N817" i="17" s="1" a="1"/>
  <c r="N817" i="17" s="1"/>
  <c r="J817" i="17"/>
  <c r="O817" i="17" s="1"/>
  <c r="K817" i="17"/>
  <c r="L817" i="17"/>
  <c r="M817" i="17" s="1"/>
  <c r="I818" i="17"/>
  <c r="N818" i="17" s="1" a="1"/>
  <c r="N818" i="17" s="1"/>
  <c r="J818" i="17"/>
  <c r="O818" i="17" s="1"/>
  <c r="K818" i="17"/>
  <c r="L818" i="17"/>
  <c r="M818" i="17" s="1"/>
  <c r="I819" i="17"/>
  <c r="N819" i="17" s="1" a="1"/>
  <c r="N819" i="17" s="1"/>
  <c r="J819" i="17"/>
  <c r="O819" i="17" s="1"/>
  <c r="K819" i="17"/>
  <c r="L819" i="17"/>
  <c r="M819" i="17" s="1"/>
  <c r="I820" i="17"/>
  <c r="N820" i="17" s="1" a="1"/>
  <c r="N820" i="17" s="1"/>
  <c r="J820" i="17"/>
  <c r="O820" i="17" s="1"/>
  <c r="K820" i="17"/>
  <c r="L820" i="17"/>
  <c r="M820" i="17" s="1"/>
  <c r="I821" i="17"/>
  <c r="N821" i="17" s="1" a="1"/>
  <c r="N821" i="17" s="1"/>
  <c r="J821" i="17"/>
  <c r="O821" i="17" s="1"/>
  <c r="K821" i="17"/>
  <c r="L821" i="17"/>
  <c r="M821" i="17" s="1"/>
  <c r="I822" i="17"/>
  <c r="N822" i="17" s="1" a="1"/>
  <c r="N822" i="17" s="1"/>
  <c r="J822" i="17"/>
  <c r="O822" i="17" s="1"/>
  <c r="K822" i="17"/>
  <c r="L822" i="17"/>
  <c r="M822" i="17" s="1"/>
  <c r="I823" i="17"/>
  <c r="N823" i="17" s="1" a="1"/>
  <c r="N823" i="17" s="1"/>
  <c r="J823" i="17"/>
  <c r="O823" i="17" s="1"/>
  <c r="K823" i="17"/>
  <c r="L823" i="17"/>
  <c r="M823" i="17" s="1"/>
  <c r="I824" i="17"/>
  <c r="N824" i="17" s="1" a="1"/>
  <c r="N824" i="17" s="1"/>
  <c r="J824" i="17"/>
  <c r="O824" i="17" s="1"/>
  <c r="K824" i="17"/>
  <c r="L824" i="17"/>
  <c r="M824" i="17" s="1"/>
  <c r="I825" i="17"/>
  <c r="N825" i="17" s="1" a="1"/>
  <c r="N825" i="17" s="1"/>
  <c r="J825" i="17"/>
  <c r="O825" i="17" s="1"/>
  <c r="K825" i="17"/>
  <c r="L825" i="17"/>
  <c r="M825" i="17" s="1"/>
  <c r="I826" i="17"/>
  <c r="N826" i="17" s="1" a="1"/>
  <c r="N826" i="17" s="1"/>
  <c r="J826" i="17"/>
  <c r="O826" i="17" s="1"/>
  <c r="K826" i="17"/>
  <c r="L826" i="17"/>
  <c r="M826" i="17" s="1"/>
  <c r="I827" i="17"/>
  <c r="N827" i="17" s="1" a="1"/>
  <c r="N827" i="17" s="1"/>
  <c r="J827" i="17"/>
  <c r="O827" i="17" s="1"/>
  <c r="K827" i="17"/>
  <c r="L827" i="17"/>
  <c r="M827" i="17" s="1"/>
  <c r="I828" i="17"/>
  <c r="N828" i="17" s="1" a="1"/>
  <c r="N828" i="17" s="1"/>
  <c r="J828" i="17"/>
  <c r="O828" i="17" s="1"/>
  <c r="K828" i="17"/>
  <c r="L828" i="17"/>
  <c r="M828" i="17" s="1"/>
  <c r="I829" i="17"/>
  <c r="N829" i="17" s="1" a="1"/>
  <c r="N829" i="17" s="1"/>
  <c r="J829" i="17"/>
  <c r="O829" i="17" s="1"/>
  <c r="K829" i="17"/>
  <c r="L829" i="17"/>
  <c r="M829" i="17" s="1"/>
  <c r="I830" i="17"/>
  <c r="N830" i="17" s="1" a="1"/>
  <c r="N830" i="17" s="1"/>
  <c r="J830" i="17"/>
  <c r="O830" i="17" s="1"/>
  <c r="K830" i="17"/>
  <c r="L830" i="17"/>
  <c r="M830" i="17" s="1"/>
  <c r="I831" i="17"/>
  <c r="N831" i="17" s="1" a="1"/>
  <c r="N831" i="17" s="1"/>
  <c r="J831" i="17"/>
  <c r="O831" i="17" s="1"/>
  <c r="K831" i="17"/>
  <c r="L831" i="17"/>
  <c r="M831" i="17" s="1"/>
  <c r="I832" i="17"/>
  <c r="N832" i="17" s="1" a="1"/>
  <c r="N832" i="17" s="1"/>
  <c r="J832" i="17"/>
  <c r="O832" i="17" s="1"/>
  <c r="K832" i="17"/>
  <c r="L832" i="17"/>
  <c r="M832" i="17" s="1"/>
  <c r="I833" i="17"/>
  <c r="N833" i="17" s="1" a="1"/>
  <c r="N833" i="17" s="1"/>
  <c r="J833" i="17"/>
  <c r="O833" i="17" s="1"/>
  <c r="K833" i="17"/>
  <c r="L833" i="17"/>
  <c r="M833" i="17" s="1"/>
  <c r="I834" i="17"/>
  <c r="N834" i="17" s="1" a="1"/>
  <c r="N834" i="17" s="1"/>
  <c r="J834" i="17"/>
  <c r="O834" i="17" s="1"/>
  <c r="K834" i="17"/>
  <c r="L834" i="17"/>
  <c r="M834" i="17" s="1"/>
  <c r="I835" i="17"/>
  <c r="N835" i="17" s="1" a="1"/>
  <c r="N835" i="17" s="1"/>
  <c r="J835" i="17"/>
  <c r="O835" i="17" s="1"/>
  <c r="K835" i="17"/>
  <c r="L835" i="17"/>
  <c r="M835" i="17" s="1"/>
  <c r="I836" i="17"/>
  <c r="N836" i="17" s="1" a="1"/>
  <c r="N836" i="17" s="1"/>
  <c r="J836" i="17"/>
  <c r="O836" i="17" s="1"/>
  <c r="K836" i="17"/>
  <c r="L836" i="17"/>
  <c r="M836" i="17" s="1"/>
  <c r="I837" i="17"/>
  <c r="N837" i="17" s="1" a="1"/>
  <c r="N837" i="17" s="1"/>
  <c r="J837" i="17"/>
  <c r="O837" i="17" s="1"/>
  <c r="K837" i="17"/>
  <c r="L837" i="17"/>
  <c r="M837" i="17" s="1"/>
  <c r="I838" i="17"/>
  <c r="N838" i="17" s="1" a="1"/>
  <c r="N838" i="17" s="1"/>
  <c r="J838" i="17"/>
  <c r="O838" i="17" s="1"/>
  <c r="K838" i="17"/>
  <c r="L838" i="17"/>
  <c r="M838" i="17" s="1"/>
  <c r="I839" i="17"/>
  <c r="N839" i="17" s="1" a="1"/>
  <c r="N839" i="17" s="1"/>
  <c r="J839" i="17"/>
  <c r="O839" i="17" s="1"/>
  <c r="K839" i="17"/>
  <c r="L839" i="17"/>
  <c r="M839" i="17" s="1"/>
  <c r="I840" i="17"/>
  <c r="N840" i="17" s="1" a="1"/>
  <c r="N840" i="17" s="1"/>
  <c r="J840" i="17"/>
  <c r="O840" i="17" s="1"/>
  <c r="K840" i="17"/>
  <c r="L840" i="17"/>
  <c r="M840" i="17" s="1"/>
  <c r="I841" i="17"/>
  <c r="N841" i="17" s="1" a="1"/>
  <c r="N841" i="17" s="1"/>
  <c r="J841" i="17"/>
  <c r="O841" i="17" s="1"/>
  <c r="K841" i="17"/>
  <c r="L841" i="17"/>
  <c r="M841" i="17" s="1"/>
  <c r="I842" i="17"/>
  <c r="N842" i="17" s="1" a="1"/>
  <c r="N842" i="17" s="1"/>
  <c r="J842" i="17"/>
  <c r="O842" i="17" s="1"/>
  <c r="K842" i="17"/>
  <c r="L842" i="17"/>
  <c r="M842" i="17" s="1"/>
  <c r="I843" i="17"/>
  <c r="N843" i="17" s="1" a="1"/>
  <c r="N843" i="17" s="1"/>
  <c r="J843" i="17"/>
  <c r="O843" i="17" s="1"/>
  <c r="K843" i="17"/>
  <c r="L843" i="17"/>
  <c r="M843" i="17" s="1"/>
  <c r="I844" i="17"/>
  <c r="N844" i="17" s="1" a="1"/>
  <c r="N844" i="17" s="1"/>
  <c r="J844" i="17"/>
  <c r="O844" i="17" s="1"/>
  <c r="K844" i="17"/>
  <c r="L844" i="17"/>
  <c r="M844" i="17" s="1"/>
  <c r="I845" i="17"/>
  <c r="N845" i="17" s="1" a="1"/>
  <c r="N845" i="17" s="1"/>
  <c r="J845" i="17"/>
  <c r="O845" i="17" s="1"/>
  <c r="K845" i="17"/>
  <c r="L845" i="17"/>
  <c r="M845" i="17" s="1"/>
  <c r="I846" i="17"/>
  <c r="N846" i="17" s="1" a="1"/>
  <c r="N846" i="17" s="1"/>
  <c r="J846" i="17"/>
  <c r="O846" i="17" s="1"/>
  <c r="K846" i="17"/>
  <c r="L846" i="17"/>
  <c r="M846" i="17" s="1"/>
  <c r="I847" i="17"/>
  <c r="N847" i="17" s="1" a="1"/>
  <c r="N847" i="17" s="1"/>
  <c r="J847" i="17"/>
  <c r="O847" i="17" s="1"/>
  <c r="K847" i="17"/>
  <c r="L847" i="17"/>
  <c r="M847" i="17" s="1"/>
  <c r="I848" i="17"/>
  <c r="N848" i="17" s="1" a="1"/>
  <c r="N848" i="17" s="1"/>
  <c r="J848" i="17"/>
  <c r="O848" i="17" s="1"/>
  <c r="K848" i="17"/>
  <c r="L848" i="17"/>
  <c r="M848" i="17" s="1"/>
  <c r="I849" i="17"/>
  <c r="N849" i="17" s="1" a="1"/>
  <c r="N849" i="17" s="1"/>
  <c r="J849" i="17"/>
  <c r="O849" i="17" s="1"/>
  <c r="K849" i="17"/>
  <c r="L849" i="17"/>
  <c r="M849" i="17" s="1"/>
  <c r="I850" i="17"/>
  <c r="N850" i="17" s="1" a="1"/>
  <c r="N850" i="17" s="1"/>
  <c r="J850" i="17"/>
  <c r="O850" i="17" s="1"/>
  <c r="K850" i="17"/>
  <c r="L850" i="17"/>
  <c r="M850" i="17" s="1"/>
  <c r="I851" i="17"/>
  <c r="N851" i="17" s="1" a="1"/>
  <c r="N851" i="17" s="1"/>
  <c r="J851" i="17"/>
  <c r="O851" i="17" s="1"/>
  <c r="K851" i="17"/>
  <c r="L851" i="17"/>
  <c r="M851" i="17" s="1"/>
  <c r="I852" i="17"/>
  <c r="N852" i="17" s="1" a="1"/>
  <c r="N852" i="17" s="1"/>
  <c r="J852" i="17"/>
  <c r="O852" i="17" s="1"/>
  <c r="K852" i="17"/>
  <c r="L852" i="17"/>
  <c r="M852" i="17" s="1"/>
  <c r="I853" i="17"/>
  <c r="N853" i="17" s="1" a="1"/>
  <c r="N853" i="17" s="1"/>
  <c r="J853" i="17"/>
  <c r="O853" i="17" s="1"/>
  <c r="K853" i="17"/>
  <c r="L853" i="17"/>
  <c r="M853" i="17" s="1"/>
  <c r="I854" i="17"/>
  <c r="N854" i="17" s="1" a="1"/>
  <c r="N854" i="17" s="1"/>
  <c r="J854" i="17"/>
  <c r="O854" i="17" s="1"/>
  <c r="K854" i="17"/>
  <c r="L854" i="17"/>
  <c r="M854" i="17" s="1"/>
  <c r="I855" i="17"/>
  <c r="N855" i="17" s="1" a="1"/>
  <c r="N855" i="17" s="1"/>
  <c r="J855" i="17"/>
  <c r="O855" i="17" s="1"/>
  <c r="K855" i="17"/>
  <c r="L855" i="17"/>
  <c r="M855" i="17" s="1"/>
  <c r="I856" i="17"/>
  <c r="N856" i="17" s="1" a="1"/>
  <c r="N856" i="17" s="1"/>
  <c r="J856" i="17"/>
  <c r="O856" i="17" s="1"/>
  <c r="K856" i="17"/>
  <c r="L856" i="17"/>
  <c r="M856" i="17" s="1"/>
  <c r="I857" i="17"/>
  <c r="N857" i="17" s="1" a="1"/>
  <c r="N857" i="17" s="1"/>
  <c r="J857" i="17"/>
  <c r="O857" i="17" s="1"/>
  <c r="K857" i="17"/>
  <c r="L857" i="17"/>
  <c r="M857" i="17" s="1"/>
  <c r="I858" i="17"/>
  <c r="N858" i="17" s="1" a="1"/>
  <c r="N858" i="17" s="1"/>
  <c r="J858" i="17"/>
  <c r="O858" i="17" s="1"/>
  <c r="K858" i="17"/>
  <c r="L858" i="17"/>
  <c r="M858" i="17" s="1"/>
  <c r="I859" i="17"/>
  <c r="N859" i="17" s="1" a="1"/>
  <c r="N859" i="17" s="1"/>
  <c r="J859" i="17"/>
  <c r="O859" i="17" s="1"/>
  <c r="K859" i="17"/>
  <c r="L859" i="17"/>
  <c r="M859" i="17" s="1"/>
  <c r="I860" i="17"/>
  <c r="N860" i="17" s="1" a="1"/>
  <c r="N860" i="17" s="1"/>
  <c r="J860" i="17"/>
  <c r="O860" i="17" s="1"/>
  <c r="K860" i="17"/>
  <c r="L860" i="17"/>
  <c r="M860" i="17" s="1"/>
  <c r="I861" i="17"/>
  <c r="N861" i="17" s="1" a="1"/>
  <c r="N861" i="17" s="1"/>
  <c r="J861" i="17"/>
  <c r="O861" i="17" s="1"/>
  <c r="K861" i="17"/>
  <c r="L861" i="17"/>
  <c r="M861" i="17" s="1"/>
  <c r="I862" i="17"/>
  <c r="N862" i="17" s="1" a="1"/>
  <c r="N862" i="17" s="1"/>
  <c r="J862" i="17"/>
  <c r="O862" i="17" s="1"/>
  <c r="K862" i="17"/>
  <c r="L862" i="17"/>
  <c r="M862" i="17" s="1"/>
  <c r="I863" i="17"/>
  <c r="N863" i="17" s="1" a="1"/>
  <c r="N863" i="17" s="1"/>
  <c r="J863" i="17"/>
  <c r="O863" i="17" s="1"/>
  <c r="K863" i="17"/>
  <c r="L863" i="17"/>
  <c r="M863" i="17" s="1"/>
  <c r="I864" i="17"/>
  <c r="N864" i="17" s="1" a="1"/>
  <c r="N864" i="17" s="1"/>
  <c r="J864" i="17"/>
  <c r="O864" i="17" s="1"/>
  <c r="K864" i="17"/>
  <c r="L864" i="17"/>
  <c r="M864" i="17" s="1"/>
  <c r="I865" i="17"/>
  <c r="N865" i="17" s="1" a="1"/>
  <c r="N865" i="17" s="1"/>
  <c r="J865" i="17"/>
  <c r="O865" i="17" s="1"/>
  <c r="K865" i="17"/>
  <c r="L865" i="17"/>
  <c r="M865" i="17" s="1"/>
  <c r="I866" i="17"/>
  <c r="N866" i="17" s="1" a="1"/>
  <c r="N866" i="17" s="1"/>
  <c r="J866" i="17"/>
  <c r="O866" i="17" s="1"/>
  <c r="K866" i="17"/>
  <c r="L866" i="17"/>
  <c r="M866" i="17" s="1"/>
  <c r="I867" i="17"/>
  <c r="N867" i="17" s="1" a="1"/>
  <c r="N867" i="17" s="1"/>
  <c r="J867" i="17"/>
  <c r="O867" i="17" s="1"/>
  <c r="K867" i="17"/>
  <c r="L867" i="17"/>
  <c r="M867" i="17" s="1"/>
  <c r="I868" i="17"/>
  <c r="N868" i="17" s="1" a="1"/>
  <c r="N868" i="17" s="1"/>
  <c r="J868" i="17"/>
  <c r="O868" i="17" s="1"/>
  <c r="K868" i="17"/>
  <c r="L868" i="17"/>
  <c r="M868" i="17" s="1"/>
  <c r="I869" i="17"/>
  <c r="N869" i="17" s="1" a="1"/>
  <c r="N869" i="17" s="1"/>
  <c r="J869" i="17"/>
  <c r="O869" i="17" s="1"/>
  <c r="K869" i="17"/>
  <c r="L869" i="17"/>
  <c r="M869" i="17" s="1"/>
  <c r="I870" i="17"/>
  <c r="N870" i="17" s="1" a="1"/>
  <c r="N870" i="17" s="1"/>
  <c r="J870" i="17"/>
  <c r="O870" i="17" s="1"/>
  <c r="K870" i="17"/>
  <c r="L870" i="17"/>
  <c r="M870" i="17" s="1"/>
  <c r="I871" i="17"/>
  <c r="N871" i="17" s="1" a="1"/>
  <c r="N871" i="17" s="1"/>
  <c r="J871" i="17"/>
  <c r="O871" i="17" s="1"/>
  <c r="K871" i="17"/>
  <c r="L871" i="17"/>
  <c r="M871" i="17" s="1"/>
  <c r="I872" i="17"/>
  <c r="N872" i="17" s="1" a="1"/>
  <c r="N872" i="17" s="1"/>
  <c r="J872" i="17"/>
  <c r="O872" i="17" s="1"/>
  <c r="K872" i="17"/>
  <c r="L872" i="17"/>
  <c r="M872" i="17" s="1"/>
  <c r="I873" i="17"/>
  <c r="N873" i="17" s="1" a="1"/>
  <c r="N873" i="17" s="1"/>
  <c r="J873" i="17"/>
  <c r="O873" i="17" s="1"/>
  <c r="K873" i="17"/>
  <c r="L873" i="17"/>
  <c r="M873" i="17" s="1"/>
  <c r="I874" i="17"/>
  <c r="N874" i="17" s="1" a="1"/>
  <c r="N874" i="17" s="1"/>
  <c r="J874" i="17"/>
  <c r="O874" i="17" s="1"/>
  <c r="K874" i="17"/>
  <c r="L874" i="17"/>
  <c r="M874" i="17" s="1"/>
  <c r="I875" i="17"/>
  <c r="N875" i="17" s="1" a="1"/>
  <c r="N875" i="17" s="1"/>
  <c r="J875" i="17"/>
  <c r="O875" i="17" s="1"/>
  <c r="K875" i="17"/>
  <c r="L875" i="17"/>
  <c r="M875" i="17" s="1"/>
  <c r="I876" i="17"/>
  <c r="N876" i="17" s="1" a="1"/>
  <c r="N876" i="17" s="1"/>
  <c r="J876" i="17"/>
  <c r="O876" i="17" s="1"/>
  <c r="K876" i="17"/>
  <c r="L876" i="17"/>
  <c r="M876" i="17" s="1"/>
  <c r="I877" i="17"/>
  <c r="N877" i="17" s="1" a="1"/>
  <c r="N877" i="17" s="1"/>
  <c r="J877" i="17"/>
  <c r="O877" i="17" s="1"/>
  <c r="K877" i="17"/>
  <c r="L877" i="17"/>
  <c r="M877" i="17" s="1"/>
  <c r="I878" i="17"/>
  <c r="N878" i="17" s="1" a="1"/>
  <c r="N878" i="17" s="1"/>
  <c r="J878" i="17"/>
  <c r="O878" i="17" s="1"/>
  <c r="K878" i="17"/>
  <c r="L878" i="17"/>
  <c r="M878" i="17" s="1"/>
  <c r="I879" i="17"/>
  <c r="N879" i="17" s="1" a="1"/>
  <c r="N879" i="17" s="1"/>
  <c r="J879" i="17"/>
  <c r="O879" i="17" s="1"/>
  <c r="K879" i="17"/>
  <c r="L879" i="17"/>
  <c r="M879" i="17" s="1"/>
  <c r="I880" i="17"/>
  <c r="N880" i="17" s="1" a="1"/>
  <c r="N880" i="17" s="1"/>
  <c r="J880" i="17"/>
  <c r="O880" i="17" s="1"/>
  <c r="K880" i="17"/>
  <c r="L880" i="17"/>
  <c r="M880" i="17" s="1"/>
  <c r="I881" i="17"/>
  <c r="N881" i="17" s="1" a="1"/>
  <c r="N881" i="17" s="1"/>
  <c r="J881" i="17"/>
  <c r="O881" i="17" s="1"/>
  <c r="K881" i="17"/>
  <c r="L881" i="17"/>
  <c r="M881" i="17" s="1"/>
  <c r="I882" i="17"/>
  <c r="N882" i="17" s="1" a="1"/>
  <c r="N882" i="17" s="1"/>
  <c r="J882" i="17"/>
  <c r="O882" i="17" s="1"/>
  <c r="K882" i="17"/>
  <c r="L882" i="17"/>
  <c r="M882" i="17" s="1"/>
  <c r="I883" i="17"/>
  <c r="N883" i="17" s="1" a="1"/>
  <c r="N883" i="17" s="1"/>
  <c r="J883" i="17"/>
  <c r="O883" i="17" s="1"/>
  <c r="K883" i="17"/>
  <c r="L883" i="17"/>
  <c r="M883" i="17" s="1"/>
  <c r="I884" i="17"/>
  <c r="N884" i="17" s="1" a="1"/>
  <c r="N884" i="17" s="1"/>
  <c r="J884" i="17"/>
  <c r="O884" i="17" s="1"/>
  <c r="K884" i="17"/>
  <c r="L884" i="17"/>
  <c r="M884" i="17" s="1"/>
  <c r="I885" i="17"/>
  <c r="N885" i="17" s="1" a="1"/>
  <c r="N885" i="17" s="1"/>
  <c r="J885" i="17"/>
  <c r="O885" i="17" s="1"/>
  <c r="K885" i="17"/>
  <c r="L885" i="17"/>
  <c r="M885" i="17" s="1"/>
  <c r="I886" i="17"/>
  <c r="N886" i="17" s="1" a="1"/>
  <c r="N886" i="17" s="1"/>
  <c r="J886" i="17"/>
  <c r="O886" i="17" s="1"/>
  <c r="K886" i="17"/>
  <c r="L886" i="17"/>
  <c r="M886" i="17" s="1"/>
  <c r="I887" i="17"/>
  <c r="N887" i="17" s="1" a="1"/>
  <c r="N887" i="17" s="1"/>
  <c r="J887" i="17"/>
  <c r="O887" i="17" s="1"/>
  <c r="K887" i="17"/>
  <c r="L887" i="17"/>
  <c r="M887" i="17" s="1"/>
  <c r="I888" i="17"/>
  <c r="N888" i="17" s="1" a="1"/>
  <c r="N888" i="17" s="1"/>
  <c r="J888" i="17"/>
  <c r="O888" i="17" s="1"/>
  <c r="K888" i="17"/>
  <c r="L888" i="17"/>
  <c r="M888" i="17" s="1"/>
  <c r="I889" i="17"/>
  <c r="N889" i="17" s="1" a="1"/>
  <c r="N889" i="17" s="1"/>
  <c r="J889" i="17"/>
  <c r="O889" i="17" s="1"/>
  <c r="K889" i="17"/>
  <c r="L889" i="17"/>
  <c r="M889" i="17" s="1"/>
  <c r="I890" i="17"/>
  <c r="N890" i="17" s="1" a="1"/>
  <c r="N890" i="17" s="1"/>
  <c r="J890" i="17"/>
  <c r="O890" i="17" s="1"/>
  <c r="K890" i="17"/>
  <c r="L890" i="17"/>
  <c r="M890" i="17" s="1"/>
  <c r="I891" i="17"/>
  <c r="N891" i="17" s="1" a="1"/>
  <c r="N891" i="17" s="1"/>
  <c r="J891" i="17"/>
  <c r="O891" i="17" s="1"/>
  <c r="K891" i="17"/>
  <c r="L891" i="17"/>
  <c r="M891" i="17" s="1"/>
  <c r="I892" i="17"/>
  <c r="N892" i="17" s="1" a="1"/>
  <c r="N892" i="17" s="1"/>
  <c r="J892" i="17"/>
  <c r="O892" i="17" s="1"/>
  <c r="K892" i="17"/>
  <c r="L892" i="17"/>
  <c r="M892" i="17" s="1"/>
  <c r="I893" i="17"/>
  <c r="N893" i="17" s="1" a="1"/>
  <c r="N893" i="17" s="1"/>
  <c r="J893" i="17"/>
  <c r="O893" i="17" s="1"/>
  <c r="K893" i="17"/>
  <c r="L893" i="17"/>
  <c r="M893" i="17" s="1"/>
  <c r="I894" i="17"/>
  <c r="N894" i="17" s="1" a="1"/>
  <c r="N894" i="17" s="1"/>
  <c r="J894" i="17"/>
  <c r="O894" i="17" s="1"/>
  <c r="K894" i="17"/>
  <c r="L894" i="17"/>
  <c r="M894" i="17" s="1"/>
  <c r="I895" i="17"/>
  <c r="N895" i="17" s="1" a="1"/>
  <c r="N895" i="17" s="1"/>
  <c r="J895" i="17"/>
  <c r="O895" i="17" s="1"/>
  <c r="K895" i="17"/>
  <c r="L895" i="17"/>
  <c r="M895" i="17" s="1"/>
  <c r="I896" i="17"/>
  <c r="N896" i="17" s="1" a="1"/>
  <c r="N896" i="17" s="1"/>
  <c r="J896" i="17"/>
  <c r="O896" i="17" s="1"/>
  <c r="K896" i="17"/>
  <c r="L896" i="17"/>
  <c r="M896" i="17" s="1"/>
  <c r="I897" i="17"/>
  <c r="N897" i="17" s="1" a="1"/>
  <c r="N897" i="17" s="1"/>
  <c r="J897" i="17"/>
  <c r="O897" i="17" s="1"/>
  <c r="K897" i="17"/>
  <c r="L897" i="17"/>
  <c r="M897" i="17" s="1"/>
  <c r="I898" i="17"/>
  <c r="N898" i="17" s="1" a="1"/>
  <c r="N898" i="17" s="1"/>
  <c r="J898" i="17"/>
  <c r="O898" i="17" s="1"/>
  <c r="K898" i="17"/>
  <c r="L898" i="17"/>
  <c r="M898" i="17" s="1"/>
  <c r="I899" i="17"/>
  <c r="N899" i="17" s="1" a="1"/>
  <c r="N899" i="17" s="1"/>
  <c r="J899" i="17"/>
  <c r="O899" i="17" s="1"/>
  <c r="K899" i="17"/>
  <c r="L899" i="17"/>
  <c r="M899" i="17" s="1"/>
  <c r="I900" i="17"/>
  <c r="N900" i="17" s="1" a="1"/>
  <c r="N900" i="17" s="1"/>
  <c r="J900" i="17"/>
  <c r="O900" i="17" s="1"/>
  <c r="K900" i="17"/>
  <c r="L900" i="17"/>
  <c r="M900" i="17" s="1"/>
  <c r="I901" i="17"/>
  <c r="N901" i="17" s="1" a="1"/>
  <c r="N901" i="17" s="1"/>
  <c r="J901" i="17"/>
  <c r="O901" i="17" s="1"/>
  <c r="K901" i="17"/>
  <c r="L901" i="17"/>
  <c r="M901" i="17" s="1"/>
  <c r="I902" i="17"/>
  <c r="N902" i="17" s="1" a="1"/>
  <c r="N902" i="17" s="1"/>
  <c r="J902" i="17"/>
  <c r="O902" i="17" s="1"/>
  <c r="K902" i="17"/>
  <c r="L902" i="17"/>
  <c r="M902" i="17" s="1"/>
  <c r="I903" i="17"/>
  <c r="N903" i="17" s="1" a="1"/>
  <c r="N903" i="17" s="1"/>
  <c r="J903" i="17"/>
  <c r="O903" i="17" s="1"/>
  <c r="K903" i="17"/>
  <c r="L903" i="17"/>
  <c r="M903" i="17" s="1"/>
  <c r="I904" i="17"/>
  <c r="N904" i="17" s="1" a="1"/>
  <c r="N904" i="17" s="1"/>
  <c r="J904" i="17"/>
  <c r="O904" i="17" s="1"/>
  <c r="K904" i="17"/>
  <c r="L904" i="17"/>
  <c r="M904" i="17" s="1"/>
  <c r="I905" i="17"/>
  <c r="N905" i="17" s="1" a="1"/>
  <c r="N905" i="17" s="1"/>
  <c r="J905" i="17"/>
  <c r="O905" i="17" s="1"/>
  <c r="K905" i="17"/>
  <c r="L905" i="17"/>
  <c r="M905" i="17" s="1"/>
  <c r="I906" i="17"/>
  <c r="N906" i="17" s="1" a="1"/>
  <c r="N906" i="17" s="1"/>
  <c r="J906" i="17"/>
  <c r="O906" i="17" s="1"/>
  <c r="K906" i="17"/>
  <c r="L906" i="17"/>
  <c r="M906" i="17" s="1"/>
  <c r="I907" i="17"/>
  <c r="N907" i="17" s="1" a="1"/>
  <c r="N907" i="17" s="1"/>
  <c r="J907" i="17"/>
  <c r="O907" i="17" s="1"/>
  <c r="K907" i="17"/>
  <c r="L907" i="17"/>
  <c r="M907" i="17" s="1"/>
  <c r="I908" i="17"/>
  <c r="N908" i="17" s="1" a="1"/>
  <c r="N908" i="17" s="1"/>
  <c r="J908" i="17"/>
  <c r="O908" i="17" s="1"/>
  <c r="K908" i="17"/>
  <c r="L908" i="17"/>
  <c r="M908" i="17" s="1"/>
  <c r="I909" i="17"/>
  <c r="N909" i="17" s="1" a="1"/>
  <c r="N909" i="17" s="1"/>
  <c r="J909" i="17"/>
  <c r="O909" i="17" s="1"/>
  <c r="K909" i="17"/>
  <c r="L909" i="17"/>
  <c r="M909" i="17" s="1"/>
  <c r="I910" i="17"/>
  <c r="N910" i="17" s="1" a="1"/>
  <c r="N910" i="17" s="1"/>
  <c r="J910" i="17"/>
  <c r="O910" i="17" s="1"/>
  <c r="K910" i="17"/>
  <c r="L910" i="17"/>
  <c r="M910" i="17" s="1"/>
  <c r="I911" i="17"/>
  <c r="N911" i="17" s="1" a="1"/>
  <c r="N911" i="17" s="1"/>
  <c r="J911" i="17"/>
  <c r="O911" i="17" s="1"/>
  <c r="K911" i="17"/>
  <c r="L911" i="17"/>
  <c r="M911" i="17" s="1"/>
  <c r="I912" i="17"/>
  <c r="N912" i="17" s="1" a="1"/>
  <c r="N912" i="17" s="1"/>
  <c r="J912" i="17"/>
  <c r="O912" i="17" s="1"/>
  <c r="K912" i="17"/>
  <c r="L912" i="17"/>
  <c r="M912" i="17" s="1"/>
  <c r="I913" i="17"/>
  <c r="N913" i="17" s="1" a="1"/>
  <c r="N913" i="17" s="1"/>
  <c r="J913" i="17"/>
  <c r="O913" i="17" s="1"/>
  <c r="K913" i="17"/>
  <c r="L913" i="17"/>
  <c r="M913" i="17" s="1"/>
  <c r="I914" i="17"/>
  <c r="N914" i="17" s="1" a="1"/>
  <c r="N914" i="17" s="1"/>
  <c r="J914" i="17"/>
  <c r="O914" i="17" s="1"/>
  <c r="K914" i="17"/>
  <c r="L914" i="17"/>
  <c r="M914" i="17" s="1"/>
  <c r="I915" i="17"/>
  <c r="N915" i="17" s="1" a="1"/>
  <c r="N915" i="17" s="1"/>
  <c r="J915" i="17"/>
  <c r="O915" i="17" s="1"/>
  <c r="K915" i="17"/>
  <c r="L915" i="17"/>
  <c r="M915" i="17" s="1"/>
  <c r="I916" i="17"/>
  <c r="N916" i="17" s="1" a="1"/>
  <c r="N916" i="17" s="1"/>
  <c r="J916" i="17"/>
  <c r="O916" i="17" s="1"/>
  <c r="K916" i="17"/>
  <c r="L916" i="17"/>
  <c r="M916" i="17" s="1"/>
  <c r="I917" i="17"/>
  <c r="N917" i="17" s="1" a="1"/>
  <c r="N917" i="17" s="1"/>
  <c r="J917" i="17"/>
  <c r="O917" i="17" s="1"/>
  <c r="K917" i="17"/>
  <c r="L917" i="17"/>
  <c r="M917" i="17" s="1"/>
  <c r="I918" i="17"/>
  <c r="N918" i="17" s="1" a="1"/>
  <c r="N918" i="17" s="1"/>
  <c r="J918" i="17"/>
  <c r="O918" i="17" s="1"/>
  <c r="K918" i="17"/>
  <c r="L918" i="17"/>
  <c r="M918" i="17" s="1"/>
  <c r="I919" i="17"/>
  <c r="N919" i="17" s="1" a="1"/>
  <c r="N919" i="17" s="1"/>
  <c r="J919" i="17"/>
  <c r="O919" i="17" s="1"/>
  <c r="K919" i="17"/>
  <c r="L919" i="17"/>
  <c r="M919" i="17" s="1"/>
  <c r="I920" i="17"/>
  <c r="N920" i="17" s="1" a="1"/>
  <c r="N920" i="17" s="1"/>
  <c r="J920" i="17"/>
  <c r="O920" i="17" s="1"/>
  <c r="K920" i="17"/>
  <c r="L920" i="17"/>
  <c r="M920" i="17" s="1"/>
  <c r="I921" i="17"/>
  <c r="N921" i="17" s="1" a="1"/>
  <c r="N921" i="17" s="1"/>
  <c r="J921" i="17"/>
  <c r="O921" i="17" s="1"/>
  <c r="K921" i="17"/>
  <c r="L921" i="17"/>
  <c r="M921" i="17" s="1"/>
  <c r="I922" i="17"/>
  <c r="N922" i="17" s="1" a="1"/>
  <c r="N922" i="17" s="1"/>
  <c r="J922" i="17"/>
  <c r="O922" i="17" s="1"/>
  <c r="K922" i="17"/>
  <c r="L922" i="17"/>
  <c r="M922" i="17" s="1"/>
  <c r="I923" i="17"/>
  <c r="N923" i="17" s="1" a="1"/>
  <c r="N923" i="17" s="1"/>
  <c r="J923" i="17"/>
  <c r="O923" i="17" s="1"/>
  <c r="K923" i="17"/>
  <c r="L923" i="17"/>
  <c r="M923" i="17" s="1"/>
  <c r="I924" i="17"/>
  <c r="N924" i="17" s="1" a="1"/>
  <c r="N924" i="17" s="1"/>
  <c r="J924" i="17"/>
  <c r="O924" i="17" s="1"/>
  <c r="K924" i="17"/>
  <c r="L924" i="17"/>
  <c r="M924" i="17" s="1"/>
  <c r="I925" i="17"/>
  <c r="N925" i="17" s="1" a="1"/>
  <c r="N925" i="17" s="1"/>
  <c r="J925" i="17"/>
  <c r="O925" i="17" s="1"/>
  <c r="K925" i="17"/>
  <c r="L925" i="17"/>
  <c r="M925" i="17" s="1"/>
  <c r="I926" i="17"/>
  <c r="N926" i="17" s="1" a="1"/>
  <c r="N926" i="17" s="1"/>
  <c r="J926" i="17"/>
  <c r="O926" i="17" s="1"/>
  <c r="K926" i="17"/>
  <c r="L926" i="17"/>
  <c r="M926" i="17" s="1"/>
  <c r="I927" i="17"/>
  <c r="N927" i="17" s="1" a="1"/>
  <c r="N927" i="17" s="1"/>
  <c r="J927" i="17"/>
  <c r="O927" i="17" s="1"/>
  <c r="K927" i="17"/>
  <c r="L927" i="17"/>
  <c r="M927" i="17" s="1"/>
  <c r="I928" i="17"/>
  <c r="N928" i="17" s="1" a="1"/>
  <c r="N928" i="17" s="1"/>
  <c r="J928" i="17"/>
  <c r="O928" i="17" s="1"/>
  <c r="K928" i="17"/>
  <c r="L928" i="17"/>
  <c r="M928" i="17" s="1"/>
  <c r="I929" i="17"/>
  <c r="N929" i="17" s="1" a="1"/>
  <c r="N929" i="17" s="1"/>
  <c r="J929" i="17"/>
  <c r="O929" i="17" s="1"/>
  <c r="K929" i="17"/>
  <c r="L929" i="17"/>
  <c r="M929" i="17" s="1"/>
  <c r="I930" i="17"/>
  <c r="N930" i="17" s="1" a="1"/>
  <c r="N930" i="17" s="1"/>
  <c r="J930" i="17"/>
  <c r="O930" i="17" s="1"/>
  <c r="K930" i="17"/>
  <c r="L930" i="17"/>
  <c r="M930" i="17" s="1"/>
  <c r="I931" i="17"/>
  <c r="N931" i="17" s="1" a="1"/>
  <c r="N931" i="17" s="1"/>
  <c r="J931" i="17"/>
  <c r="O931" i="17" s="1"/>
  <c r="K931" i="17"/>
  <c r="L931" i="17"/>
  <c r="M931" i="17" s="1"/>
  <c r="I932" i="17"/>
  <c r="N932" i="17" s="1" a="1"/>
  <c r="N932" i="17" s="1"/>
  <c r="J932" i="17"/>
  <c r="O932" i="17" s="1"/>
  <c r="K932" i="17"/>
  <c r="L932" i="17"/>
  <c r="M932" i="17" s="1"/>
  <c r="I933" i="17"/>
  <c r="N933" i="17" s="1" a="1"/>
  <c r="N933" i="17" s="1"/>
  <c r="J933" i="17"/>
  <c r="O933" i="17" s="1"/>
  <c r="K933" i="17"/>
  <c r="L933" i="17"/>
  <c r="M933" i="17" s="1"/>
  <c r="I934" i="17"/>
  <c r="N934" i="17" s="1" a="1"/>
  <c r="N934" i="17" s="1"/>
  <c r="J934" i="17"/>
  <c r="O934" i="17" s="1"/>
  <c r="K934" i="17"/>
  <c r="L934" i="17"/>
  <c r="M934" i="17" s="1"/>
  <c r="I935" i="17"/>
  <c r="N935" i="17" s="1" a="1"/>
  <c r="N935" i="17" s="1"/>
  <c r="J935" i="17"/>
  <c r="O935" i="17" s="1"/>
  <c r="K935" i="17"/>
  <c r="L935" i="17"/>
  <c r="M935" i="17" s="1"/>
  <c r="I936" i="17"/>
  <c r="N936" i="17" s="1" a="1"/>
  <c r="N936" i="17" s="1"/>
  <c r="J936" i="17"/>
  <c r="O936" i="17" s="1"/>
  <c r="K936" i="17"/>
  <c r="L936" i="17"/>
  <c r="M936" i="17" s="1"/>
  <c r="I937" i="17"/>
  <c r="N937" i="17" s="1" a="1"/>
  <c r="N937" i="17" s="1"/>
  <c r="J937" i="17"/>
  <c r="O937" i="17" s="1"/>
  <c r="K937" i="17"/>
  <c r="L937" i="17"/>
  <c r="M937" i="17" s="1"/>
  <c r="I938" i="17"/>
  <c r="N938" i="17" s="1" a="1"/>
  <c r="N938" i="17" s="1"/>
  <c r="J938" i="17"/>
  <c r="O938" i="17" s="1"/>
  <c r="K938" i="17"/>
  <c r="L938" i="17"/>
  <c r="M938" i="17" s="1"/>
  <c r="I939" i="17"/>
  <c r="N939" i="17" s="1" a="1"/>
  <c r="N939" i="17" s="1"/>
  <c r="J939" i="17"/>
  <c r="O939" i="17" s="1"/>
  <c r="K939" i="17"/>
  <c r="L939" i="17"/>
  <c r="M939" i="17" s="1"/>
  <c r="I940" i="17"/>
  <c r="N940" i="17" s="1" a="1"/>
  <c r="N940" i="17" s="1"/>
  <c r="J940" i="17"/>
  <c r="O940" i="17" s="1"/>
  <c r="K940" i="17"/>
  <c r="L940" i="17"/>
  <c r="M940" i="17" s="1"/>
  <c r="I941" i="17"/>
  <c r="N941" i="17" s="1" a="1"/>
  <c r="N941" i="17" s="1"/>
  <c r="J941" i="17"/>
  <c r="O941" i="17" s="1"/>
  <c r="K941" i="17"/>
  <c r="L941" i="17"/>
  <c r="M941" i="17" s="1"/>
  <c r="I942" i="17"/>
  <c r="N942" i="17" s="1" a="1"/>
  <c r="N942" i="17" s="1"/>
  <c r="J942" i="17"/>
  <c r="O942" i="17" s="1"/>
  <c r="K942" i="17"/>
  <c r="L942" i="17"/>
  <c r="M942" i="17" s="1"/>
  <c r="I943" i="17"/>
  <c r="N943" i="17" s="1" a="1"/>
  <c r="N943" i="17" s="1"/>
  <c r="J943" i="17"/>
  <c r="O943" i="17" s="1"/>
  <c r="K943" i="17"/>
  <c r="L943" i="17"/>
  <c r="M943" i="17" s="1"/>
  <c r="I944" i="17"/>
  <c r="N944" i="17" s="1" a="1"/>
  <c r="N944" i="17" s="1"/>
  <c r="J944" i="17"/>
  <c r="O944" i="17" s="1"/>
  <c r="K944" i="17"/>
  <c r="L944" i="17"/>
  <c r="M944" i="17" s="1"/>
  <c r="I945" i="17"/>
  <c r="N945" i="17" s="1" a="1"/>
  <c r="N945" i="17" s="1"/>
  <c r="J945" i="17"/>
  <c r="O945" i="17" s="1"/>
  <c r="K945" i="17"/>
  <c r="L945" i="17"/>
  <c r="M945" i="17" s="1"/>
  <c r="I946" i="17"/>
  <c r="N946" i="17" s="1" a="1"/>
  <c r="N946" i="17" s="1"/>
  <c r="J946" i="17"/>
  <c r="O946" i="17" s="1"/>
  <c r="K946" i="17"/>
  <c r="L946" i="17"/>
  <c r="M946" i="17" s="1"/>
  <c r="I947" i="17"/>
  <c r="N947" i="17" s="1" a="1"/>
  <c r="N947" i="17" s="1"/>
  <c r="J947" i="17"/>
  <c r="O947" i="17" s="1"/>
  <c r="K947" i="17"/>
  <c r="L947" i="17"/>
  <c r="M947" i="17" s="1"/>
  <c r="I948" i="17"/>
  <c r="N948" i="17" s="1" a="1"/>
  <c r="N948" i="17" s="1"/>
  <c r="J948" i="17"/>
  <c r="O948" i="17" s="1"/>
  <c r="K948" i="17"/>
  <c r="L948" i="17"/>
  <c r="M948" i="17" s="1"/>
  <c r="I949" i="17"/>
  <c r="N949" i="17" s="1" a="1"/>
  <c r="N949" i="17" s="1"/>
  <c r="J949" i="17"/>
  <c r="O949" i="17" s="1"/>
  <c r="K949" i="17"/>
  <c r="L949" i="17"/>
  <c r="M949" i="17" s="1"/>
  <c r="I950" i="17"/>
  <c r="N950" i="17" s="1" a="1"/>
  <c r="N950" i="17" s="1"/>
  <c r="J950" i="17"/>
  <c r="O950" i="17" s="1"/>
  <c r="K950" i="17"/>
  <c r="L950" i="17"/>
  <c r="M950" i="17" s="1"/>
  <c r="I951" i="17"/>
  <c r="N951" i="17" s="1" a="1"/>
  <c r="N951" i="17" s="1"/>
  <c r="J951" i="17"/>
  <c r="O951" i="17" s="1"/>
  <c r="K951" i="17"/>
  <c r="L951" i="17"/>
  <c r="M951" i="17" s="1"/>
  <c r="I952" i="17"/>
  <c r="N952" i="17" s="1" a="1"/>
  <c r="N952" i="17" s="1"/>
  <c r="J952" i="17"/>
  <c r="O952" i="17" s="1"/>
  <c r="K952" i="17"/>
  <c r="L952" i="17"/>
  <c r="M952" i="17" s="1"/>
  <c r="I953" i="17"/>
  <c r="N953" i="17" s="1" a="1"/>
  <c r="N953" i="17" s="1"/>
  <c r="J953" i="17"/>
  <c r="O953" i="17" s="1"/>
  <c r="K953" i="17"/>
  <c r="L953" i="17"/>
  <c r="M953" i="17" s="1"/>
  <c r="I954" i="17"/>
  <c r="N954" i="17" s="1" a="1"/>
  <c r="N954" i="17" s="1"/>
  <c r="J954" i="17"/>
  <c r="O954" i="17" s="1"/>
  <c r="K954" i="17"/>
  <c r="L954" i="17"/>
  <c r="M954" i="17" s="1"/>
  <c r="I955" i="17"/>
  <c r="N955" i="17" s="1" a="1"/>
  <c r="N955" i="17" s="1"/>
  <c r="J955" i="17"/>
  <c r="O955" i="17" s="1"/>
  <c r="K955" i="17"/>
  <c r="L955" i="17"/>
  <c r="M955" i="17" s="1"/>
  <c r="I956" i="17"/>
  <c r="N956" i="17" s="1" a="1"/>
  <c r="N956" i="17" s="1"/>
  <c r="J956" i="17"/>
  <c r="O956" i="17" s="1"/>
  <c r="K956" i="17"/>
  <c r="L956" i="17"/>
  <c r="M956" i="17" s="1"/>
  <c r="I957" i="17"/>
  <c r="N957" i="17" s="1" a="1"/>
  <c r="N957" i="17" s="1"/>
  <c r="J957" i="17"/>
  <c r="O957" i="17" s="1"/>
  <c r="K957" i="17"/>
  <c r="L957" i="17"/>
  <c r="M957" i="17" s="1"/>
  <c r="I958" i="17"/>
  <c r="N958" i="17" s="1" a="1"/>
  <c r="N958" i="17" s="1"/>
  <c r="J958" i="17"/>
  <c r="O958" i="17" s="1"/>
  <c r="K958" i="17"/>
  <c r="L958" i="17"/>
  <c r="M958" i="17" s="1"/>
  <c r="I959" i="17"/>
  <c r="N959" i="17" s="1" a="1"/>
  <c r="N959" i="17" s="1"/>
  <c r="J959" i="17"/>
  <c r="O959" i="17" s="1"/>
  <c r="K959" i="17"/>
  <c r="L959" i="17"/>
  <c r="M959" i="17" s="1"/>
  <c r="I960" i="17"/>
  <c r="N960" i="17" s="1" a="1"/>
  <c r="N960" i="17" s="1"/>
  <c r="J960" i="17"/>
  <c r="O960" i="17" s="1"/>
  <c r="K960" i="17"/>
  <c r="L960" i="17"/>
  <c r="M960" i="17" s="1"/>
  <c r="I961" i="17"/>
  <c r="N961" i="17" s="1" a="1"/>
  <c r="N961" i="17" s="1"/>
  <c r="J961" i="17"/>
  <c r="O961" i="17" s="1"/>
  <c r="K961" i="17"/>
  <c r="L961" i="17"/>
  <c r="M961" i="17" s="1"/>
  <c r="I962" i="17"/>
  <c r="N962" i="17" s="1" a="1"/>
  <c r="N962" i="17" s="1"/>
  <c r="J962" i="17"/>
  <c r="O962" i="17" s="1"/>
  <c r="K962" i="17"/>
  <c r="L962" i="17"/>
  <c r="M962" i="17" s="1"/>
  <c r="I963" i="17"/>
  <c r="N963" i="17" s="1" a="1"/>
  <c r="N963" i="17" s="1"/>
  <c r="J963" i="17"/>
  <c r="O963" i="17" s="1"/>
  <c r="K963" i="17"/>
  <c r="L963" i="17"/>
  <c r="M963" i="17" s="1"/>
  <c r="I964" i="17"/>
  <c r="N964" i="17" s="1" a="1"/>
  <c r="N964" i="17" s="1"/>
  <c r="J964" i="17"/>
  <c r="O964" i="17" s="1"/>
  <c r="K964" i="17"/>
  <c r="L964" i="17"/>
  <c r="M964" i="17" s="1"/>
  <c r="I965" i="17"/>
  <c r="N965" i="17" s="1" a="1"/>
  <c r="N965" i="17" s="1"/>
  <c r="J965" i="17"/>
  <c r="O965" i="17" s="1"/>
  <c r="K965" i="17"/>
  <c r="L965" i="17"/>
  <c r="M965" i="17" s="1"/>
  <c r="I966" i="17"/>
  <c r="N966" i="17" s="1" a="1"/>
  <c r="N966" i="17" s="1"/>
  <c r="J966" i="17"/>
  <c r="O966" i="17" s="1"/>
  <c r="K966" i="17"/>
  <c r="L966" i="17"/>
  <c r="M966" i="17" s="1"/>
  <c r="I967" i="17"/>
  <c r="N967" i="17" s="1" a="1"/>
  <c r="N967" i="17" s="1"/>
  <c r="J967" i="17"/>
  <c r="O967" i="17" s="1"/>
  <c r="K967" i="17"/>
  <c r="L967" i="17"/>
  <c r="M967" i="17" s="1"/>
  <c r="I968" i="17"/>
  <c r="N968" i="17" s="1" a="1"/>
  <c r="N968" i="17" s="1"/>
  <c r="J968" i="17"/>
  <c r="O968" i="17" s="1"/>
  <c r="K968" i="17"/>
  <c r="L968" i="17"/>
  <c r="M968" i="17" s="1"/>
  <c r="I969" i="17"/>
  <c r="N969" i="17" s="1" a="1"/>
  <c r="N969" i="17" s="1"/>
  <c r="J969" i="17"/>
  <c r="O969" i="17" s="1"/>
  <c r="K969" i="17"/>
  <c r="L969" i="17"/>
  <c r="M969" i="17" s="1"/>
  <c r="I970" i="17"/>
  <c r="N970" i="17" s="1" a="1"/>
  <c r="N970" i="17" s="1"/>
  <c r="J970" i="17"/>
  <c r="O970" i="17" s="1"/>
  <c r="K970" i="17"/>
  <c r="L970" i="17"/>
  <c r="M970" i="17" s="1"/>
  <c r="I971" i="17"/>
  <c r="N971" i="17" s="1" a="1"/>
  <c r="N971" i="17" s="1"/>
  <c r="J971" i="17"/>
  <c r="O971" i="17" s="1"/>
  <c r="K971" i="17"/>
  <c r="L971" i="17"/>
  <c r="M971" i="17" s="1"/>
  <c r="I972" i="17"/>
  <c r="N972" i="17" s="1" a="1"/>
  <c r="N972" i="17" s="1"/>
  <c r="J972" i="17"/>
  <c r="O972" i="17" s="1"/>
  <c r="K972" i="17"/>
  <c r="L972" i="17"/>
  <c r="M972" i="17" s="1"/>
  <c r="I973" i="17"/>
  <c r="N973" i="17" s="1" a="1"/>
  <c r="N973" i="17" s="1"/>
  <c r="J973" i="17"/>
  <c r="O973" i="17" s="1"/>
  <c r="K973" i="17"/>
  <c r="L973" i="17"/>
  <c r="M973" i="17" s="1"/>
  <c r="I974" i="17"/>
  <c r="N974" i="17" s="1" a="1"/>
  <c r="N974" i="17" s="1"/>
  <c r="J974" i="17"/>
  <c r="O974" i="17" s="1"/>
  <c r="K974" i="17"/>
  <c r="L974" i="17"/>
  <c r="M974" i="17" s="1"/>
  <c r="I975" i="17"/>
  <c r="N975" i="17" s="1" a="1"/>
  <c r="N975" i="17" s="1"/>
  <c r="J975" i="17"/>
  <c r="O975" i="17" s="1"/>
  <c r="K975" i="17"/>
  <c r="L975" i="17"/>
  <c r="M975" i="17" s="1"/>
  <c r="I976" i="17"/>
  <c r="N976" i="17" s="1" a="1"/>
  <c r="N976" i="17" s="1"/>
  <c r="J976" i="17"/>
  <c r="O976" i="17" s="1"/>
  <c r="K976" i="17"/>
  <c r="L976" i="17"/>
  <c r="M976" i="17" s="1"/>
  <c r="I977" i="17"/>
  <c r="N977" i="17" s="1" a="1"/>
  <c r="N977" i="17" s="1"/>
  <c r="J977" i="17"/>
  <c r="O977" i="17" s="1"/>
  <c r="K977" i="17"/>
  <c r="L977" i="17"/>
  <c r="M977" i="17" s="1"/>
  <c r="I978" i="17"/>
  <c r="N978" i="17" s="1" a="1"/>
  <c r="N978" i="17" s="1"/>
  <c r="J978" i="17"/>
  <c r="O978" i="17" s="1"/>
  <c r="K978" i="17"/>
  <c r="L978" i="17"/>
  <c r="M978" i="17" s="1"/>
  <c r="I979" i="17"/>
  <c r="N979" i="17" s="1" a="1"/>
  <c r="N979" i="17" s="1"/>
  <c r="J979" i="17"/>
  <c r="O979" i="17" s="1"/>
  <c r="K979" i="17"/>
  <c r="L979" i="17"/>
  <c r="M979" i="17" s="1"/>
  <c r="I980" i="17"/>
  <c r="N980" i="17" s="1" a="1"/>
  <c r="N980" i="17" s="1"/>
  <c r="J980" i="17"/>
  <c r="O980" i="17" s="1"/>
  <c r="K980" i="17"/>
  <c r="L980" i="17"/>
  <c r="M980" i="17" s="1"/>
  <c r="I981" i="17"/>
  <c r="N981" i="17" s="1" a="1"/>
  <c r="N981" i="17" s="1"/>
  <c r="J981" i="17"/>
  <c r="O981" i="17" s="1"/>
  <c r="K981" i="17"/>
  <c r="L981" i="17"/>
  <c r="M981" i="17" s="1"/>
  <c r="I982" i="17"/>
  <c r="N982" i="17" s="1" a="1"/>
  <c r="N982" i="17" s="1"/>
  <c r="J982" i="17"/>
  <c r="O982" i="17" s="1"/>
  <c r="K982" i="17"/>
  <c r="L982" i="17"/>
  <c r="M982" i="17" s="1"/>
  <c r="I983" i="17"/>
  <c r="N983" i="17" s="1" a="1"/>
  <c r="N983" i="17" s="1"/>
  <c r="J983" i="17"/>
  <c r="O983" i="17" s="1"/>
  <c r="K983" i="17"/>
  <c r="L983" i="17"/>
  <c r="M983" i="17" s="1"/>
  <c r="I984" i="17"/>
  <c r="N984" i="17" s="1" a="1"/>
  <c r="N984" i="17" s="1"/>
  <c r="J984" i="17"/>
  <c r="O984" i="17" s="1"/>
  <c r="K984" i="17"/>
  <c r="L984" i="17"/>
  <c r="M984" i="17" s="1"/>
  <c r="I985" i="17"/>
  <c r="N985" i="17" s="1" a="1"/>
  <c r="N985" i="17" s="1"/>
  <c r="J985" i="17"/>
  <c r="O985" i="17" s="1"/>
  <c r="K985" i="17"/>
  <c r="L985" i="17"/>
  <c r="M985" i="17" s="1"/>
  <c r="I986" i="17"/>
  <c r="N986" i="17" s="1" a="1"/>
  <c r="N986" i="17" s="1"/>
  <c r="J986" i="17"/>
  <c r="O986" i="17" s="1"/>
  <c r="K986" i="17"/>
  <c r="L986" i="17"/>
  <c r="M986" i="17" s="1"/>
  <c r="I987" i="17"/>
  <c r="N987" i="17" s="1" a="1"/>
  <c r="N987" i="17" s="1"/>
  <c r="J987" i="17"/>
  <c r="O987" i="17" s="1"/>
  <c r="K987" i="17"/>
  <c r="L987" i="17"/>
  <c r="M987" i="17" s="1"/>
  <c r="I988" i="17"/>
  <c r="N988" i="17" s="1" a="1"/>
  <c r="N988" i="17" s="1"/>
  <c r="J988" i="17"/>
  <c r="O988" i="17" s="1"/>
  <c r="K988" i="17"/>
  <c r="L988" i="17"/>
  <c r="M988" i="17" s="1"/>
  <c r="I989" i="17"/>
  <c r="N989" i="17" s="1" a="1"/>
  <c r="N989" i="17" s="1"/>
  <c r="J989" i="17"/>
  <c r="O989" i="17" s="1"/>
  <c r="K989" i="17"/>
  <c r="L989" i="17"/>
  <c r="M989" i="17" s="1"/>
  <c r="I990" i="17"/>
  <c r="N990" i="17" s="1" a="1"/>
  <c r="N990" i="17" s="1"/>
  <c r="J990" i="17"/>
  <c r="O990" i="17" s="1"/>
  <c r="K990" i="17"/>
  <c r="L990" i="17"/>
  <c r="M990" i="17" s="1"/>
  <c r="I991" i="17"/>
  <c r="N991" i="17" s="1" a="1"/>
  <c r="N991" i="17" s="1"/>
  <c r="J991" i="17"/>
  <c r="O991" i="17" s="1"/>
  <c r="K991" i="17"/>
  <c r="L991" i="17"/>
  <c r="M991" i="17" s="1"/>
  <c r="I992" i="17"/>
  <c r="N992" i="17" s="1" a="1"/>
  <c r="N992" i="17" s="1"/>
  <c r="J992" i="17"/>
  <c r="O992" i="17" s="1"/>
  <c r="K992" i="17"/>
  <c r="L992" i="17"/>
  <c r="M992" i="17" s="1"/>
  <c r="I993" i="17"/>
  <c r="N993" i="17" s="1" a="1"/>
  <c r="N993" i="17" s="1"/>
  <c r="J993" i="17"/>
  <c r="O993" i="17" s="1"/>
  <c r="K993" i="17"/>
  <c r="L993" i="17"/>
  <c r="M993" i="17" s="1"/>
  <c r="I994" i="17"/>
  <c r="N994" i="17" s="1" a="1"/>
  <c r="N994" i="17" s="1"/>
  <c r="J994" i="17"/>
  <c r="O994" i="17" s="1"/>
  <c r="K994" i="17"/>
  <c r="L994" i="17"/>
  <c r="M994" i="17" s="1"/>
  <c r="I995" i="17"/>
  <c r="N995" i="17" s="1" a="1"/>
  <c r="N995" i="17" s="1"/>
  <c r="J995" i="17"/>
  <c r="O995" i="17" s="1"/>
  <c r="K995" i="17"/>
  <c r="L995" i="17"/>
  <c r="M995" i="17" s="1"/>
  <c r="I996" i="17"/>
  <c r="N996" i="17" s="1" a="1"/>
  <c r="N996" i="17" s="1"/>
  <c r="J996" i="17"/>
  <c r="O996" i="17" s="1"/>
  <c r="K996" i="17"/>
  <c r="L996" i="17"/>
  <c r="M996" i="17" s="1"/>
  <c r="I997" i="17"/>
  <c r="N997" i="17" s="1" a="1"/>
  <c r="N997" i="17" s="1"/>
  <c r="J997" i="17"/>
  <c r="O997" i="17" s="1"/>
  <c r="K997" i="17"/>
  <c r="L997" i="17"/>
  <c r="M997" i="17" s="1"/>
  <c r="I998" i="17"/>
  <c r="N998" i="17" s="1" a="1"/>
  <c r="N998" i="17" s="1"/>
  <c r="J998" i="17"/>
  <c r="O998" i="17" s="1"/>
  <c r="K998" i="17"/>
  <c r="L998" i="17"/>
  <c r="M998" i="17" s="1"/>
  <c r="I999" i="17"/>
  <c r="N999" i="17" s="1" a="1"/>
  <c r="N999" i="17" s="1"/>
  <c r="J999" i="17"/>
  <c r="O999" i="17" s="1"/>
  <c r="K999" i="17"/>
  <c r="L999" i="17"/>
  <c r="M999" i="17" s="1"/>
  <c r="I1000" i="17"/>
  <c r="N1000" i="17" s="1" a="1"/>
  <c r="N1000" i="17" s="1"/>
  <c r="J1000" i="17"/>
  <c r="O1000" i="17" s="1"/>
  <c r="K1000" i="17"/>
  <c r="L1000" i="17"/>
  <c r="M1000" i="17" s="1"/>
  <c r="I1001" i="17"/>
  <c r="N1001" i="17" s="1" a="1"/>
  <c r="N1001" i="17" s="1"/>
  <c r="J1001" i="17"/>
  <c r="O1001" i="17" s="1"/>
  <c r="K1001" i="17"/>
  <c r="L1001" i="17"/>
  <c r="M1001" i="17" s="1"/>
  <c r="J2" i="17"/>
  <c r="O2" i="17" s="1"/>
  <c r="K2" i="17"/>
  <c r="L2" i="17"/>
  <c r="M2"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<sst xmlns="http://schemas.openxmlformats.org/spreadsheetml/2006/main" count="11128" uniqueCount="6220">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</sst>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6" formatCode="mmm\-dd\-yyyy"/>
    <numFmt numFmtId="167" formatCode="0.0\ &quot;kg&quot;"/>
    <numFmt numFmtId="168"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166" fontId="0" fillId="0" borderId="0" xfId="0" applyNumberFormat="1"/>
    <xf numFmtId="3" fontId="0" fillId="0" borderId="0" xfId="0" applyNumberFormat="1"/>
  </cellXfs>
  <cellStyles count="1">
    <cellStyle name="Normal" xfId="0" builtinId="0"/>
  </cellStyles>
  <dxfs count="16">
    <dxf>
      <font>
        <b val="0"/>
        <i val="0"/>
        <sz val="11"/>
        <color rgb="FFFFFDF1"/>
        <name val="Calibri"/>
        <family val="2"/>
        <scheme val="minor"/>
      </font>
    </dxf>
    <dxf>
      <font>
        <b val="0"/>
        <i val="0"/>
        <sz val="10"/>
        <color rgb="FF562F00"/>
        <name val="Calibri"/>
        <family val="2"/>
        <scheme val="minor"/>
      </font>
      <fill>
        <patternFill>
          <bgColor rgb="FFFF9644"/>
        </patternFill>
      </fill>
      <border>
        <left style="thin">
          <color rgb="FF562F00"/>
        </left>
        <right style="thin">
          <color rgb="FF562F00"/>
        </right>
        <top style="thin">
          <color rgb="FF562F00"/>
        </top>
        <bottom style="thin">
          <color rgb="FF562F00"/>
        </bottom>
      </border>
    </dxf>
    <dxf>
      <numFmt numFmtId="0" formatCode="General"/>
    </dxf>
    <dxf>
      <font>
        <b val="0"/>
        <i val="0"/>
        <sz val="11"/>
        <color rgb="FFFFFDF1"/>
        <name val="Calibri"/>
        <family val="2"/>
        <scheme val="minor"/>
      </font>
    </dxf>
    <dxf>
      <font>
        <b val="0"/>
        <i val="0"/>
        <sz val="11"/>
        <name val="Calibri"/>
        <family val="2"/>
        <scheme val="minor"/>
      </font>
      <fill>
        <patternFill patternType="solid">
          <fgColor theme="0"/>
          <bgColor rgb="FFFF9644"/>
        </patternFill>
      </fill>
      <border>
        <left style="thin">
          <color rgb="FF562F00"/>
        </left>
        <right style="thin">
          <color rgb="FF562F00"/>
        </right>
        <top style="thin">
          <color rgb="FF562F00"/>
        </top>
        <bottom style="thin">
          <color rgb="FF562F00"/>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_([$$-409]* \(#,##0.00\);_([$$-409]* &quot;-&quot;??_);_(@_)"/>
    </dxf>
    <dxf>
      <numFmt numFmtId="168" formatCode="_([$$-409]* #,##0.00_);_([$$-409]* \(#,##0.00\);_([$$-409]* &quot;-&quot;??_);_(@_)"/>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mmm\-d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sclicer1111" pivot="0" table="0" count="5" xr9:uid="{E6089893-1F14-42B8-A031-CBF8B4C2D5A9}">
      <tableStyleElement type="wholeTable" dxfId="1"/>
      <tableStyleElement type="headerRow" dxfId="0"/>
    </tableStyle>
    <tableStyle name="timeline111" pivot="0" table="0" count="8" xr9:uid="{EA4A7B2B-F190-46D3-B162-567A7F08580C}">
      <tableStyleElement type="wholeTable" dxfId="4"/>
      <tableStyleElement type="headerRow" dxfId="3"/>
    </tableStyle>
  </tableStyles>
  <colors>
    <mruColors>
      <color rgb="FFFFFDF1"/>
      <color rgb="FFFFCE99"/>
      <color rgb="FF00FA06"/>
      <color rgb="FF00DA05"/>
      <color rgb="FF009A04"/>
      <color rgb="FF007003"/>
      <color rgb="FF009203"/>
      <color rgb="FF00C405"/>
      <color rgb="FF005F02"/>
      <color rgb="FF09637E"/>
    </mruColors>
  </colors>
  <extLst>
    <ext xmlns:x14="http://schemas.microsoft.com/office/spreadsheetml/2009/9/main" uri="{46F421CA-312F-682f-3DD2-61675219B42D}">
      <x14:dxfs count="3">
        <dxf>
          <fill>
            <patternFill>
              <bgColor rgb="FFFF9644"/>
            </patternFill>
          </fill>
        </dxf>
        <dxf>
          <font>
            <color rgb="FFFFFDF1"/>
          </font>
          <fill>
            <patternFill>
              <bgColor rgb="FFFF9644"/>
            </patternFill>
          </fill>
          <border diagonalUp="0" diagonalDown="0">
            <left/>
            <right/>
            <top/>
            <bottom/>
            <vertical/>
            <horizontal/>
          </border>
        </dxf>
        <dxf>
          <font>
            <strike/>
          </font>
          <fill>
            <patternFill>
              <bgColor rgb="FFFF9644"/>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clicer111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562F00"/>
            </patternFill>
          </fill>
          <border>
            <left style="thin">
              <color rgb="FFFFCE99"/>
            </left>
            <right style="thin">
              <color rgb="FFFFCE99"/>
            </right>
            <top style="thin">
              <color rgb="FFFFCE99"/>
            </top>
            <bottom style="thin">
              <color rgb="FFFFCE99"/>
            </bottom>
          </border>
        </dxf>
        <dxf>
          <font>
            <b val="0"/>
            <i val="0"/>
            <sz val="9"/>
            <color rgb="FF562F00"/>
            <name val="Calibri"/>
            <family val="2"/>
            <scheme val="minor"/>
          </font>
        </dxf>
        <dxf>
          <font>
            <b/>
            <i val="0"/>
            <sz val="9"/>
            <color rgb="FFFFFDF1"/>
            <name val="Calibri"/>
            <family val="2"/>
            <scheme val="minor"/>
          </font>
        </dxf>
        <dxf>
          <font>
            <b/>
            <i val="0"/>
            <sz val="9"/>
            <color rgb="FFFFFDF1"/>
            <name val="Calibri"/>
            <family val="2"/>
            <scheme val="minor"/>
          </font>
        </dxf>
        <dxf>
          <font>
            <b val="0"/>
            <i val="0"/>
            <sz val="10"/>
            <color rgb="FFFFFDF1"/>
            <name val="Calibri"/>
            <family val="2"/>
            <scheme val="minor"/>
          </font>
        </dxf>
      </x15:dxfs>
    </ext>
    <ext xmlns:x15="http://schemas.microsoft.com/office/spreadsheetml/2010/11/main" uri="{9260A510-F301-46a8-8635-F512D64BE5F5}">
      <x15:timelineStyles defaultTimelineStyle="TimeSlicerStyleLight1">
        <x15:timelineStyle name="timeline11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[coffeeOrdersData.xlsx]total_sales!total_sales</c:name>
    <c:fmtId val="6"/>
  </c:pivotSource>
  <c:chart>
    <c:title>
      <c:tx>
        <c:rich>
          <a:bodyPr rot="0" spcFirstLastPara="1" vertOverflow="ellipsis" vert="horz" wrap="square" anchor="ctr" anchorCtr="1"/>
          <a:lstStyle/>
          <a:p>
            <a:pPr>
              <a:defRPr sz="1400" b="0" i="0" u="none" strike="noStrike" kern="1200" spc="0" baseline="0">
                <a:solidFill>
                  <a:srgbClr val="562F0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62F00"/>
              </a:solidFill>
              <a:latin typeface="+mn-lt"/>
              <a:ea typeface="+mn-ea"/>
              <a:cs typeface="+mn-cs"/>
            </a:defRPr>
          </a:pPr>
          <a:endParaRPr lang="en-US"/>
        </a:p>
      </c:txPr>
    </c:title>
    <c:autoTitleDeleted val="0"/>
    <c:pivotFmts>
      <c:pivotFmt>
        <c:idx val="0"/>
        <c:spPr>
          <a:solidFill>
            <a:schemeClr val="accent1"/>
          </a:solidFill>
          <a:ln w="28575" cap="rnd">
            <a:solidFill>
              <a:srgbClr val="6CA65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15173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6CA65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15173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6CA65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15173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rgbClr val="6CA651"/>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AE5-483D-BD08-125F19419CCB}"/>
            </c:ext>
          </c:extLst>
        </c:ser>
        <c:ser>
          <c:idx val="1"/>
          <c:order val="1"/>
          <c:tx>
            <c:strRef>
              <c:f>total_sales!$D$3:$D$4</c:f>
              <c:strCache>
                <c:ptCount val="1"/>
                <c:pt idx="0">
                  <c:v>Excelsa</c:v>
                </c:pt>
              </c:strCache>
            </c:strRef>
          </c:tx>
          <c:spPr>
            <a:ln w="28575" cap="rnd">
              <a:solidFill>
                <a:schemeClr val="accent2"/>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AE5-483D-BD08-125F19419CCB}"/>
            </c:ext>
          </c:extLst>
        </c:ser>
        <c:ser>
          <c:idx val="2"/>
          <c:order val="2"/>
          <c:tx>
            <c:strRef>
              <c:f>total_sales!$E$3:$E$4</c:f>
              <c:strCache>
                <c:ptCount val="1"/>
                <c:pt idx="0">
                  <c:v>Liberica</c:v>
                </c:pt>
              </c:strCache>
            </c:strRef>
          </c:tx>
          <c:spPr>
            <a:ln w="28575" cap="rnd">
              <a:solidFill>
                <a:srgbClr val="15173D"/>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AE5-483D-BD08-125F19419CCB}"/>
            </c:ext>
          </c:extLst>
        </c:ser>
        <c:ser>
          <c:idx val="3"/>
          <c:order val="3"/>
          <c:tx>
            <c:strRef>
              <c:f>total_sales!$F$3:$F$4</c:f>
              <c:strCache>
                <c:ptCount val="1"/>
                <c:pt idx="0">
                  <c:v>Robusta</c:v>
                </c:pt>
              </c:strCache>
            </c:strRef>
          </c:tx>
          <c:spPr>
            <a:ln w="28575" cap="rnd">
              <a:solidFill>
                <a:srgbClr val="FFFF0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AE5-483D-BD08-125F19419CCB}"/>
            </c:ext>
          </c:extLst>
        </c:ser>
        <c:dLbls>
          <c:showLegendKey val="0"/>
          <c:showVal val="0"/>
          <c:showCatName val="0"/>
          <c:showSerName val="0"/>
          <c:showPercent val="0"/>
          <c:showBubbleSize val="0"/>
        </c:dLbls>
        <c:smooth val="0"/>
        <c:axId val="1123823648"/>
        <c:axId val="1123826976"/>
      </c:lineChart>
      <c:catAx>
        <c:axId val="112382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crossAx val="1123826976"/>
        <c:crosses val="autoZero"/>
        <c:auto val="1"/>
        <c:lblAlgn val="ctr"/>
        <c:lblOffset val="100"/>
        <c:noMultiLvlLbl val="0"/>
      </c:catAx>
      <c:valAx>
        <c:axId val="1123826976"/>
        <c:scaling>
          <c:orientation val="minMax"/>
        </c:scaling>
        <c:delete val="0"/>
        <c:axPos val="l"/>
        <c:majorGridlines>
          <c:spPr>
            <a:ln w="9525" cap="flat" cmpd="sng" algn="ctr">
              <a:solidFill>
                <a:srgbClr val="FFFDF1"/>
              </a:solidFill>
              <a:round/>
            </a:ln>
            <a:effectLst/>
          </c:spPr>
        </c:majorGridlines>
        <c:title>
          <c:tx>
            <c:rich>
              <a:bodyPr rot="-5400000" spcFirstLastPara="1" vertOverflow="ellipsis" vert="horz" wrap="square" anchor="ctr" anchorCtr="1"/>
              <a:lstStyle/>
              <a:p>
                <a:pPr>
                  <a:defRPr sz="1000" b="0" i="0" u="none" strike="noStrike" kern="1200" baseline="0">
                    <a:solidFill>
                      <a:srgbClr val="562F0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562F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crossAx val="112382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E99"/>
    </a:solidFill>
    <a:ln w="9525" cap="flat" cmpd="sng" algn="ctr">
      <a:solidFill>
        <a:schemeClr val="tx1">
          <a:lumMod val="15000"/>
          <a:lumOff val="85000"/>
        </a:schemeClr>
      </a:solidFill>
      <a:round/>
    </a:ln>
    <a:effectLst/>
  </c:spPr>
  <c:txPr>
    <a:bodyPr/>
    <a:lstStyle/>
    <a:p>
      <a:pPr>
        <a:defRPr>
          <a:solidFill>
            <a:srgbClr val="562F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[coffeeOrdersData.xlsx]countrybarchart!total_sales</c:name>
    <c:fmtId val="8"/>
  </c:pivotSource>
  <c:chart>
    <c:title>
      <c:tx>
        <c:rich>
          <a:bodyPr rot="0" spcFirstLastPara="1" vertOverflow="ellipsis" vert="horz" wrap="square" anchor="ctr" anchorCtr="1"/>
          <a:lstStyle/>
          <a:p>
            <a:pPr>
              <a:defRPr sz="1400" b="0" i="0" u="none" strike="noStrike" kern="1200" spc="0" baseline="0">
                <a:solidFill>
                  <a:srgbClr val="562F00"/>
                </a:solidFill>
                <a:latin typeface="+mn-lt"/>
                <a:ea typeface="+mn-ea"/>
                <a:cs typeface="+mn-cs"/>
              </a:defRPr>
            </a:pPr>
            <a:r>
              <a:rPr lang="en-US"/>
              <a:t>Sales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62F00"/>
              </a:solidFill>
              <a:latin typeface="+mn-lt"/>
              <a:ea typeface="+mn-ea"/>
              <a:cs typeface="+mn-cs"/>
            </a:defRPr>
          </a:pPr>
          <a:endParaRPr lang="en-US"/>
        </a:p>
      </c:txPr>
    </c:title>
    <c:autoTitleDeleted val="0"/>
    <c:pivotFmts>
      <c:pivotFmt>
        <c:idx val="0"/>
        <c:spPr>
          <a:solidFill>
            <a:srgbClr val="005F0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C405"/>
          </a:solidFill>
          <a:ln>
            <a:noFill/>
          </a:ln>
          <a:effectLst/>
        </c:spPr>
      </c:pivotFmt>
      <c:pivotFmt>
        <c:idx val="2"/>
        <c:spPr>
          <a:solidFill>
            <a:srgbClr val="009203"/>
          </a:solidFill>
          <a:ln>
            <a:noFill/>
          </a:ln>
          <a:effectLst/>
        </c:spPr>
      </c:pivotFmt>
      <c:pivotFmt>
        <c:idx val="3"/>
        <c:spPr>
          <a:solidFill>
            <a:srgbClr val="005F0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9203"/>
          </a:solidFill>
          <a:ln>
            <a:noFill/>
          </a:ln>
          <a:effectLst/>
        </c:spPr>
      </c:pivotFmt>
      <c:pivotFmt>
        <c:idx val="5"/>
        <c:spPr>
          <a:solidFill>
            <a:srgbClr val="00C405"/>
          </a:solidFill>
          <a:ln>
            <a:noFill/>
          </a:ln>
          <a:effectLst/>
        </c:spPr>
      </c:pivotFmt>
      <c:pivotFmt>
        <c:idx val="6"/>
        <c:spPr>
          <a:solidFill>
            <a:srgbClr val="005F0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9203"/>
          </a:solidFill>
          <a:ln>
            <a:noFill/>
          </a:ln>
          <a:effectLst/>
        </c:spPr>
      </c:pivotFmt>
      <c:pivotFmt>
        <c:idx val="8"/>
        <c:spPr>
          <a:solidFill>
            <a:srgbClr val="00C405"/>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5F02"/>
            </a:solidFill>
            <a:ln>
              <a:noFill/>
            </a:ln>
            <a:effectLst/>
          </c:spPr>
          <c:invertIfNegative val="0"/>
          <c:dPt>
            <c:idx val="1"/>
            <c:invertIfNegative val="0"/>
            <c:bubble3D val="0"/>
            <c:spPr>
              <a:solidFill>
                <a:srgbClr val="009203"/>
              </a:solidFill>
              <a:ln>
                <a:noFill/>
              </a:ln>
              <a:effectLst/>
            </c:spPr>
            <c:extLst>
              <c:ext xmlns:c16="http://schemas.microsoft.com/office/drawing/2014/chart" uri="{C3380CC4-5D6E-409C-BE32-E72D297353CC}">
                <c16:uniqueId val="{00000001-1765-4B06-B34A-08817A4C5201}"/>
              </c:ext>
            </c:extLst>
          </c:dPt>
          <c:dPt>
            <c:idx val="2"/>
            <c:invertIfNegative val="0"/>
            <c:bubble3D val="0"/>
            <c:spPr>
              <a:solidFill>
                <a:srgbClr val="00C405"/>
              </a:solidFill>
              <a:ln>
                <a:noFill/>
              </a:ln>
              <a:effectLst/>
            </c:spPr>
            <c:extLst>
              <c:ext xmlns:c16="http://schemas.microsoft.com/office/drawing/2014/chart" uri="{C3380CC4-5D6E-409C-BE32-E72D297353CC}">
                <c16:uniqueId val="{00000003-1765-4B06-B34A-08817A4C5201}"/>
              </c:ext>
            </c:extLst>
          </c:dPt>
          <c:dLbls>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1765-4B06-B34A-08817A4C5201}"/>
            </c:ext>
          </c:extLst>
        </c:ser>
        <c:dLbls>
          <c:showLegendKey val="0"/>
          <c:showVal val="1"/>
          <c:showCatName val="0"/>
          <c:showSerName val="0"/>
          <c:showPercent val="0"/>
          <c:showBubbleSize val="0"/>
        </c:dLbls>
        <c:gapWidth val="182"/>
        <c:axId val="1502161888"/>
        <c:axId val="1502157728"/>
      </c:barChart>
      <c:catAx>
        <c:axId val="150216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crossAx val="1502157728"/>
        <c:crosses val="autoZero"/>
        <c:auto val="1"/>
        <c:lblAlgn val="ctr"/>
        <c:lblOffset val="100"/>
        <c:noMultiLvlLbl val="0"/>
      </c:catAx>
      <c:valAx>
        <c:axId val="15021577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crossAx val="150216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E99"/>
    </a:solidFill>
    <a:ln w="9525" cap="flat" cmpd="sng" algn="ctr">
      <a:noFill/>
      <a:round/>
    </a:ln>
    <a:effectLst/>
  </c:spPr>
  <c:txPr>
    <a:bodyPr/>
    <a:lstStyle/>
    <a:p>
      <a:pPr>
        <a:defRPr>
          <a:solidFill>
            <a:srgbClr val="562F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[coffeeOrdersData.xlsx]customerbarchart!total_sales</c:name>
    <c:fmtId val="9"/>
  </c:pivotSource>
  <c:chart>
    <c:title>
      <c:tx>
        <c:rich>
          <a:bodyPr rot="0" spcFirstLastPara="1" vertOverflow="ellipsis" vert="horz" wrap="square" anchor="ctr" anchorCtr="1"/>
          <a:lstStyle/>
          <a:p>
            <a:pPr>
              <a:defRPr sz="1400" b="0" i="0" u="none" strike="noStrike" kern="1200" spc="0" baseline="0">
                <a:solidFill>
                  <a:srgbClr val="562F00"/>
                </a:solidFill>
                <a:latin typeface="+mn-lt"/>
                <a:ea typeface="+mn-ea"/>
                <a:cs typeface="+mn-cs"/>
              </a:defRPr>
            </a:pPr>
            <a:r>
              <a:rPr lang="en-US"/>
              <a:t>Top</a:t>
            </a:r>
            <a:r>
              <a:rPr lang="en-US" baseline="0"/>
              <a:t> 5 Customers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62F00"/>
              </a:solidFill>
              <a:latin typeface="+mn-lt"/>
              <a:ea typeface="+mn-ea"/>
              <a:cs typeface="+mn-cs"/>
            </a:defRPr>
          </a:pPr>
          <a:endParaRPr lang="en-US"/>
        </a:p>
      </c:txPr>
    </c:title>
    <c:autoTitleDeleted val="0"/>
    <c:pivotFmts>
      <c:pivotFmt>
        <c:idx val="0"/>
        <c:spPr>
          <a:solidFill>
            <a:srgbClr val="005F0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C405"/>
          </a:solidFill>
          <a:ln>
            <a:noFill/>
          </a:ln>
          <a:effectLst/>
        </c:spPr>
      </c:pivotFmt>
      <c:pivotFmt>
        <c:idx val="2"/>
        <c:spPr>
          <a:solidFill>
            <a:srgbClr val="009203"/>
          </a:solidFill>
          <a:ln>
            <a:noFill/>
          </a:ln>
          <a:effectLst/>
        </c:spPr>
      </c:pivotFmt>
      <c:pivotFmt>
        <c:idx val="3"/>
        <c:spPr>
          <a:solidFill>
            <a:srgbClr val="005F0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9203"/>
          </a:solidFill>
          <a:ln>
            <a:noFill/>
          </a:ln>
          <a:effectLst/>
        </c:spPr>
      </c:pivotFmt>
      <c:pivotFmt>
        <c:idx val="5"/>
        <c:spPr>
          <a:solidFill>
            <a:srgbClr val="00C405"/>
          </a:solidFill>
          <a:ln>
            <a:noFill/>
          </a:ln>
          <a:effectLst/>
        </c:spPr>
      </c:pivotFmt>
      <c:pivotFmt>
        <c:idx val="6"/>
        <c:spPr>
          <a:solidFill>
            <a:srgbClr val="007003"/>
          </a:solidFill>
          <a:ln>
            <a:noFill/>
          </a:ln>
          <a:effectLst/>
        </c:spPr>
      </c:pivotFmt>
      <c:pivotFmt>
        <c:idx val="7"/>
        <c:spPr>
          <a:solidFill>
            <a:srgbClr val="009A04"/>
          </a:solidFill>
          <a:ln>
            <a:noFill/>
          </a:ln>
          <a:effectLst/>
        </c:spPr>
      </c:pivotFmt>
      <c:pivotFmt>
        <c:idx val="8"/>
        <c:spPr>
          <a:solidFill>
            <a:srgbClr val="00DA05"/>
          </a:solidFill>
          <a:ln>
            <a:noFill/>
          </a:ln>
          <a:effectLst/>
        </c:spPr>
      </c:pivotFmt>
      <c:pivotFmt>
        <c:idx val="9"/>
        <c:spPr>
          <a:solidFill>
            <a:srgbClr val="00FA06"/>
          </a:solidFill>
          <a:ln>
            <a:noFill/>
          </a:ln>
          <a:effectLst/>
        </c:spPr>
      </c:pivotFmt>
      <c:pivotFmt>
        <c:idx val="10"/>
        <c:spPr>
          <a:solidFill>
            <a:srgbClr val="005F0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FA06"/>
          </a:solidFill>
          <a:ln>
            <a:noFill/>
          </a:ln>
          <a:effectLst/>
        </c:spPr>
      </c:pivotFmt>
      <c:pivotFmt>
        <c:idx val="12"/>
        <c:spPr>
          <a:solidFill>
            <a:srgbClr val="00DA05"/>
          </a:solidFill>
          <a:ln>
            <a:noFill/>
          </a:ln>
          <a:effectLst/>
        </c:spPr>
      </c:pivotFmt>
      <c:pivotFmt>
        <c:idx val="13"/>
        <c:spPr>
          <a:solidFill>
            <a:srgbClr val="009A04"/>
          </a:solidFill>
          <a:ln>
            <a:noFill/>
          </a:ln>
          <a:effectLst/>
        </c:spPr>
      </c:pivotFmt>
      <c:pivotFmt>
        <c:idx val="14"/>
        <c:spPr>
          <a:solidFill>
            <a:srgbClr val="007003"/>
          </a:solidFill>
          <a:ln>
            <a:noFill/>
          </a:ln>
          <a:effectLst/>
        </c:spPr>
      </c:pivotFmt>
      <c:pivotFmt>
        <c:idx val="15"/>
        <c:spPr>
          <a:solidFill>
            <a:srgbClr val="005F0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FA06"/>
          </a:solidFill>
          <a:ln>
            <a:noFill/>
          </a:ln>
          <a:effectLst/>
        </c:spPr>
      </c:pivotFmt>
      <c:pivotFmt>
        <c:idx val="17"/>
        <c:spPr>
          <a:solidFill>
            <a:srgbClr val="00DA05"/>
          </a:solidFill>
          <a:ln>
            <a:noFill/>
          </a:ln>
          <a:effectLst/>
        </c:spPr>
      </c:pivotFmt>
      <c:pivotFmt>
        <c:idx val="18"/>
        <c:spPr>
          <a:solidFill>
            <a:srgbClr val="009A04"/>
          </a:solidFill>
          <a:ln>
            <a:noFill/>
          </a:ln>
          <a:effectLst/>
        </c:spPr>
      </c:pivotFmt>
      <c:pivotFmt>
        <c:idx val="19"/>
        <c:spPr>
          <a:solidFill>
            <a:srgbClr val="007003"/>
          </a:solidFill>
          <a:ln>
            <a:noFill/>
          </a:ln>
          <a:effectLst/>
        </c:spPr>
      </c:pivotFmt>
    </c:pivotFmts>
    <c:plotArea>
      <c:layout/>
      <c:barChart>
        <c:barDir val="bar"/>
        <c:grouping val="clustered"/>
        <c:varyColors val="0"/>
        <c:ser>
          <c:idx val="0"/>
          <c:order val="0"/>
          <c:tx>
            <c:strRef>
              <c:f>customerbarchart!$B$3</c:f>
              <c:strCache>
                <c:ptCount val="1"/>
                <c:pt idx="0">
                  <c:v>Total</c:v>
                </c:pt>
              </c:strCache>
            </c:strRef>
          </c:tx>
          <c:spPr>
            <a:solidFill>
              <a:srgbClr val="005F02"/>
            </a:solidFill>
            <a:ln>
              <a:noFill/>
            </a:ln>
            <a:effectLst/>
          </c:spPr>
          <c:invertIfNegative val="0"/>
          <c:dPt>
            <c:idx val="0"/>
            <c:invertIfNegative val="0"/>
            <c:bubble3D val="0"/>
            <c:spPr>
              <a:solidFill>
                <a:srgbClr val="00FA06"/>
              </a:solidFill>
              <a:ln>
                <a:noFill/>
              </a:ln>
              <a:effectLst/>
            </c:spPr>
            <c:extLst>
              <c:ext xmlns:c16="http://schemas.microsoft.com/office/drawing/2014/chart" uri="{C3380CC4-5D6E-409C-BE32-E72D297353CC}">
                <c16:uniqueId val="{00000001-7EF0-450B-BC46-84628854BC64}"/>
              </c:ext>
            </c:extLst>
          </c:dPt>
          <c:dPt>
            <c:idx val="1"/>
            <c:invertIfNegative val="0"/>
            <c:bubble3D val="0"/>
            <c:spPr>
              <a:solidFill>
                <a:srgbClr val="00DA05"/>
              </a:solidFill>
              <a:ln>
                <a:noFill/>
              </a:ln>
              <a:effectLst/>
            </c:spPr>
            <c:extLst>
              <c:ext xmlns:c16="http://schemas.microsoft.com/office/drawing/2014/chart" uri="{C3380CC4-5D6E-409C-BE32-E72D297353CC}">
                <c16:uniqueId val="{00000003-7EF0-450B-BC46-84628854BC64}"/>
              </c:ext>
            </c:extLst>
          </c:dPt>
          <c:dPt>
            <c:idx val="2"/>
            <c:invertIfNegative val="0"/>
            <c:bubble3D val="0"/>
            <c:spPr>
              <a:solidFill>
                <a:srgbClr val="009A04"/>
              </a:solidFill>
              <a:ln>
                <a:noFill/>
              </a:ln>
              <a:effectLst/>
            </c:spPr>
            <c:extLst>
              <c:ext xmlns:c16="http://schemas.microsoft.com/office/drawing/2014/chart" uri="{C3380CC4-5D6E-409C-BE32-E72D297353CC}">
                <c16:uniqueId val="{00000005-7EF0-450B-BC46-84628854BC64}"/>
              </c:ext>
            </c:extLst>
          </c:dPt>
          <c:dPt>
            <c:idx val="3"/>
            <c:invertIfNegative val="0"/>
            <c:bubble3D val="0"/>
            <c:spPr>
              <a:solidFill>
                <a:srgbClr val="007003"/>
              </a:solidFill>
              <a:ln>
                <a:noFill/>
              </a:ln>
              <a:effectLst/>
            </c:spPr>
            <c:extLst>
              <c:ext xmlns:c16="http://schemas.microsoft.com/office/drawing/2014/chart" uri="{C3380CC4-5D6E-409C-BE32-E72D297353CC}">
                <c16:uniqueId val="{00000007-7EF0-450B-BC46-84628854BC64}"/>
              </c:ext>
            </c:extLst>
          </c:dPt>
          <c:dLbls>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customerbarchart!$A$4:$A$8</c:f>
              <c:strCache>
                <c:ptCount val="5"/>
                <c:pt idx="0">
                  <c:v>Don Flintiff</c:v>
                </c:pt>
                <c:pt idx="1">
                  <c:v>Nealson Cuttler</c:v>
                </c:pt>
                <c:pt idx="2">
                  <c:v>Terri Farra</c:v>
                </c:pt>
                <c:pt idx="3">
                  <c:v>Brenn Dundredge</c:v>
                </c:pt>
                <c:pt idx="4">
                  <c:v>Allis Wilmore</c:v>
                </c:pt>
              </c:strCache>
            </c:strRef>
          </c:cat>
          <c:val>
            <c:numRef>
              <c:f>customerbarchart!$B$4:$B$8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8-7EF0-450B-BC46-84628854BC64}"/>
            </c:ext>
          </c:extLst>
        </c:ser>
        <c:dLbls>
          <c:showLegendKey val="0"/>
          <c:showVal val="1"/>
          <c:showCatName val="0"/>
          <c:showSerName val="0"/>
          <c:showPercent val="0"/>
          <c:showBubbleSize val="0"/>
        </c:dLbls>
        <c:gapWidth val="182"/>
        <c:axId val="1502161888"/>
        <c:axId val="1502157728"/>
      </c:barChart>
      <c:catAx>
        <c:axId val="150216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crossAx val="1502157728"/>
        <c:crosses val="autoZero"/>
        <c:auto val="1"/>
        <c:lblAlgn val="ctr"/>
        <c:lblOffset val="100"/>
        <c:noMultiLvlLbl val="0"/>
      </c:catAx>
      <c:valAx>
        <c:axId val="15021577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crossAx val="150216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E99"/>
    </a:solidFill>
    <a:ln w="9525" cap="flat" cmpd="sng" algn="ctr">
      <a:noFill/>
      <a:round/>
    </a:ln>
    <a:effectLst/>
  </c:spPr>
  <c:txPr>
    <a:bodyPr/>
    <a:lstStyle/>
    <a:p>
      <a:pPr>
        <a:defRPr>
          <a:solidFill>
            <a:srgbClr val="562F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[coffeeOrdersData.xlsx]total_sales!total_sales</c:name>
    <c:fmtId val="1"/>
  </c:pivotSource>
  <c:chart>
    <c:title>
      <c:tx>
        <c:rich>
          <a:bodyPr rot="0" spcFirstLastPara="1" vertOverflow="ellipsis" vert="horz" wrap="square" anchor="ctr" anchorCtr="1"/>
          <a:lstStyle/>
          <a:p>
            <a:pPr>
              <a:defRPr sz="1400" b="0" i="0" u="none" strike="noStrike" kern="1200" spc="0" baseline="0">
                <a:solidFill>
                  <a:srgbClr val="562F0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62F00"/>
              </a:solidFill>
              <a:latin typeface="+mn-lt"/>
              <a:ea typeface="+mn-ea"/>
              <a:cs typeface="+mn-cs"/>
            </a:defRPr>
          </a:pPr>
          <a:endParaRPr lang="en-US"/>
        </a:p>
      </c:txPr>
    </c:title>
    <c:autoTitleDeleted val="0"/>
    <c:pivotFmts>
      <c:pivotFmt>
        <c:idx val="0"/>
        <c:spPr>
          <a:ln w="28575" cap="rnd">
            <a:solidFill>
              <a:srgbClr val="6CA65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5173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rgbClr val="6CA651"/>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5-91BA-48C7-8D1A-1FE5F7FFDB51}"/>
            </c:ext>
          </c:extLst>
        </c:ser>
        <c:ser>
          <c:idx val="1"/>
          <c:order val="1"/>
          <c:tx>
            <c:strRef>
              <c:f>total_sales!$D$3:$D$4</c:f>
              <c:strCache>
                <c:ptCount val="1"/>
                <c:pt idx="0">
                  <c:v>Excelsa</c:v>
                </c:pt>
              </c:strCache>
            </c:strRef>
          </c:tx>
          <c:spPr>
            <a:ln w="28575" cap="rnd">
              <a:solidFill>
                <a:schemeClr val="accent2"/>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6-91BA-48C7-8D1A-1FE5F7FFDB51}"/>
            </c:ext>
          </c:extLst>
        </c:ser>
        <c:ser>
          <c:idx val="2"/>
          <c:order val="2"/>
          <c:tx>
            <c:strRef>
              <c:f>total_sales!$E$3:$E$4</c:f>
              <c:strCache>
                <c:ptCount val="1"/>
                <c:pt idx="0">
                  <c:v>Liberica</c:v>
                </c:pt>
              </c:strCache>
            </c:strRef>
          </c:tx>
          <c:spPr>
            <a:ln w="28575" cap="rnd">
              <a:solidFill>
                <a:srgbClr val="15173D"/>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91BA-48C7-8D1A-1FE5F7FFDB51}"/>
            </c:ext>
          </c:extLst>
        </c:ser>
        <c:ser>
          <c:idx val="3"/>
          <c:order val="3"/>
          <c:tx>
            <c:strRef>
              <c:f>total_sales!$F$3:$F$4</c:f>
              <c:strCache>
                <c:ptCount val="1"/>
                <c:pt idx="0">
                  <c:v>Robusta</c:v>
                </c:pt>
              </c:strCache>
            </c:strRef>
          </c:tx>
          <c:spPr>
            <a:ln w="28575" cap="rnd">
              <a:solidFill>
                <a:srgbClr val="FFFF0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91BA-48C7-8D1A-1FE5F7FFDB51}"/>
            </c:ext>
          </c:extLst>
        </c:ser>
        <c:dLbls>
          <c:showLegendKey val="0"/>
          <c:showVal val="0"/>
          <c:showCatName val="0"/>
          <c:showSerName val="0"/>
          <c:showPercent val="0"/>
          <c:showBubbleSize val="0"/>
        </c:dLbls>
        <c:smooth val="0"/>
        <c:axId val="1123823648"/>
        <c:axId val="1123826976"/>
      </c:lineChart>
      <c:catAx>
        <c:axId val="112382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crossAx val="1123826976"/>
        <c:crosses val="autoZero"/>
        <c:auto val="1"/>
        <c:lblAlgn val="ctr"/>
        <c:lblOffset val="100"/>
        <c:noMultiLvlLbl val="0"/>
      </c:catAx>
      <c:valAx>
        <c:axId val="1123826976"/>
        <c:scaling>
          <c:orientation val="minMax"/>
        </c:scaling>
        <c:delete val="0"/>
        <c:axPos val="l"/>
        <c:majorGridlines>
          <c:spPr>
            <a:ln w="9525" cap="flat" cmpd="sng" algn="ctr">
              <a:solidFill>
                <a:srgbClr val="FFFDF1"/>
              </a:solidFill>
              <a:round/>
            </a:ln>
            <a:effectLst/>
          </c:spPr>
        </c:majorGridlines>
        <c:title>
          <c:tx>
            <c:rich>
              <a:bodyPr rot="-5400000" spcFirstLastPara="1" vertOverflow="ellipsis" vert="horz" wrap="square" anchor="ctr" anchorCtr="1"/>
              <a:lstStyle/>
              <a:p>
                <a:pPr>
                  <a:defRPr sz="1000" b="0" i="0" u="none" strike="noStrike" kern="1200" baseline="0">
                    <a:solidFill>
                      <a:srgbClr val="562F0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562F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crossAx val="112382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E99"/>
    </a:solidFill>
    <a:ln w="9525" cap="flat" cmpd="sng" algn="ctr">
      <a:solidFill>
        <a:schemeClr val="tx1">
          <a:lumMod val="15000"/>
          <a:lumOff val="85000"/>
        </a:schemeClr>
      </a:solidFill>
      <a:round/>
    </a:ln>
    <a:effectLst/>
  </c:spPr>
  <c:txPr>
    <a:bodyPr/>
    <a:lstStyle/>
    <a:p>
      <a:pPr>
        <a:defRPr>
          <a:solidFill>
            <a:srgbClr val="562F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[coffeeOrdersData.xlsx]countrybarchart!total_sales</c:name>
    <c:fmtId val="5"/>
  </c:pivotSource>
  <c:chart>
    <c:title>
      <c:tx>
        <c:rich>
          <a:bodyPr rot="0" spcFirstLastPara="1" vertOverflow="ellipsis" vert="horz" wrap="square" anchor="ctr" anchorCtr="1"/>
          <a:lstStyle/>
          <a:p>
            <a:pPr>
              <a:defRPr sz="1400" b="0" i="0" u="none" strike="noStrike" kern="1200" spc="0" baseline="0">
                <a:solidFill>
                  <a:srgbClr val="562F00"/>
                </a:solidFill>
                <a:latin typeface="+mn-lt"/>
                <a:ea typeface="+mn-ea"/>
                <a:cs typeface="+mn-cs"/>
              </a:defRPr>
            </a:pPr>
            <a:r>
              <a:rPr lang="en-US"/>
              <a:t>Sales per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62F00"/>
              </a:solidFill>
              <a:latin typeface="+mn-lt"/>
              <a:ea typeface="+mn-ea"/>
              <a:cs typeface="+mn-cs"/>
            </a:defRPr>
          </a:pPr>
          <a:endParaRPr lang="en-US"/>
        </a:p>
      </c:txPr>
    </c:title>
    <c:autoTitleDeleted val="0"/>
    <c:pivotFmts>
      <c:pivotFmt>
        <c:idx val="0"/>
        <c:spPr>
          <a:solidFill>
            <a:srgbClr val="005F0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C405"/>
          </a:solidFill>
          <a:ln>
            <a:noFill/>
          </a:ln>
          <a:effectLst/>
        </c:spPr>
      </c:pivotFmt>
      <c:pivotFmt>
        <c:idx val="2"/>
        <c:spPr>
          <a:solidFill>
            <a:srgbClr val="009203"/>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5F02"/>
            </a:solidFill>
            <a:ln>
              <a:noFill/>
            </a:ln>
            <a:effectLst/>
          </c:spPr>
          <c:invertIfNegative val="0"/>
          <c:dPt>
            <c:idx val="1"/>
            <c:invertIfNegative val="0"/>
            <c:bubble3D val="0"/>
            <c:spPr>
              <a:solidFill>
                <a:srgbClr val="009203"/>
              </a:solidFill>
              <a:ln>
                <a:noFill/>
              </a:ln>
              <a:effectLst/>
            </c:spPr>
            <c:extLst>
              <c:ext xmlns:c16="http://schemas.microsoft.com/office/drawing/2014/chart" uri="{C3380CC4-5D6E-409C-BE32-E72D297353CC}">
                <c16:uniqueId val="{00000003-38CB-4DD4-8C98-40148ECC5076}"/>
              </c:ext>
            </c:extLst>
          </c:dPt>
          <c:dPt>
            <c:idx val="2"/>
            <c:invertIfNegative val="0"/>
            <c:bubble3D val="0"/>
            <c:spPr>
              <a:solidFill>
                <a:srgbClr val="00C405"/>
              </a:solidFill>
              <a:ln>
                <a:noFill/>
              </a:ln>
              <a:effectLst/>
            </c:spPr>
            <c:extLst>
              <c:ext xmlns:c16="http://schemas.microsoft.com/office/drawing/2014/chart" uri="{C3380CC4-5D6E-409C-BE32-E72D297353CC}">
                <c16:uniqueId val="{00000002-38CB-4DD4-8C98-40148ECC5076}"/>
              </c:ext>
            </c:extLst>
          </c:dPt>
          <c:dLbls>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8CB-4DD4-8C98-40148ECC5076}"/>
            </c:ext>
          </c:extLst>
        </c:ser>
        <c:dLbls>
          <c:showLegendKey val="0"/>
          <c:showVal val="1"/>
          <c:showCatName val="0"/>
          <c:showSerName val="0"/>
          <c:showPercent val="0"/>
          <c:showBubbleSize val="0"/>
        </c:dLbls>
        <c:gapWidth val="182"/>
        <c:axId val="1502161888"/>
        <c:axId val="1502157728"/>
      </c:barChart>
      <c:catAx>
        <c:axId val="150216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crossAx val="1502157728"/>
        <c:crosses val="autoZero"/>
        <c:auto val="1"/>
        <c:lblAlgn val="ctr"/>
        <c:lblOffset val="100"/>
        <c:noMultiLvlLbl val="0"/>
      </c:catAx>
      <c:valAx>
        <c:axId val="15021577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crossAx val="150216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E99"/>
    </a:solidFill>
    <a:ln w="9525" cap="flat" cmpd="sng" algn="ctr">
      <a:noFill/>
      <a:round/>
    </a:ln>
    <a:effectLst/>
  </c:spPr>
  <c:txPr>
    <a:bodyPr/>
    <a:lstStyle/>
    <a:p>
      <a:pPr>
        <a:defRPr>
          <a:solidFill>
            <a:srgbClr val="562F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[coffeeOrdersData.xlsx]customerbarchart!total_sales</c:name>
    <c:fmtId val="6"/>
  </c:pivotSource>
  <c:chart>
    <c:title>
      <c:tx>
        <c:rich>
          <a:bodyPr rot="0" spcFirstLastPara="1" vertOverflow="ellipsis" vert="horz" wrap="square" anchor="ctr" anchorCtr="1"/>
          <a:lstStyle/>
          <a:p>
            <a:pPr>
              <a:defRPr sz="1400" b="0" i="0" u="none" strike="noStrike" kern="1200" spc="0" baseline="0">
                <a:solidFill>
                  <a:srgbClr val="562F00"/>
                </a:solidFill>
                <a:latin typeface="+mn-lt"/>
                <a:ea typeface="+mn-ea"/>
                <a:cs typeface="+mn-cs"/>
              </a:defRPr>
            </a:pPr>
            <a:r>
              <a:rPr lang="en-US"/>
              <a:t>Top</a:t>
            </a:r>
            <a:r>
              <a:rPr lang="en-US" baseline="0"/>
              <a:t> 5 Customers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62F00"/>
              </a:solidFill>
              <a:latin typeface="+mn-lt"/>
              <a:ea typeface="+mn-ea"/>
              <a:cs typeface="+mn-cs"/>
            </a:defRPr>
          </a:pPr>
          <a:endParaRPr lang="en-US"/>
        </a:p>
      </c:txPr>
    </c:title>
    <c:autoTitleDeleted val="0"/>
    <c:pivotFmts>
      <c:pivotFmt>
        <c:idx val="0"/>
        <c:spPr>
          <a:solidFill>
            <a:srgbClr val="005F0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C405"/>
          </a:solidFill>
          <a:ln>
            <a:noFill/>
          </a:ln>
          <a:effectLst/>
        </c:spPr>
      </c:pivotFmt>
      <c:pivotFmt>
        <c:idx val="2"/>
        <c:spPr>
          <a:solidFill>
            <a:srgbClr val="009203"/>
          </a:solidFill>
          <a:ln>
            <a:noFill/>
          </a:ln>
          <a:effectLst/>
        </c:spPr>
      </c:pivotFmt>
      <c:pivotFmt>
        <c:idx val="3"/>
        <c:spPr>
          <a:solidFill>
            <a:srgbClr val="005F0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9203"/>
          </a:solidFill>
          <a:ln>
            <a:noFill/>
          </a:ln>
          <a:effectLst/>
        </c:spPr>
      </c:pivotFmt>
      <c:pivotFmt>
        <c:idx val="5"/>
        <c:spPr>
          <a:solidFill>
            <a:srgbClr val="00C405"/>
          </a:solidFill>
          <a:ln>
            <a:noFill/>
          </a:ln>
          <a:effectLst/>
        </c:spPr>
      </c:pivotFmt>
      <c:pivotFmt>
        <c:idx val="6"/>
        <c:spPr>
          <a:solidFill>
            <a:srgbClr val="007003"/>
          </a:solidFill>
          <a:ln>
            <a:noFill/>
          </a:ln>
          <a:effectLst/>
        </c:spPr>
      </c:pivotFmt>
      <c:pivotFmt>
        <c:idx val="7"/>
        <c:spPr>
          <a:solidFill>
            <a:srgbClr val="009A04"/>
          </a:solidFill>
          <a:ln>
            <a:noFill/>
          </a:ln>
          <a:effectLst/>
        </c:spPr>
      </c:pivotFmt>
      <c:pivotFmt>
        <c:idx val="8"/>
        <c:spPr>
          <a:solidFill>
            <a:srgbClr val="00DA05"/>
          </a:solidFill>
          <a:ln>
            <a:noFill/>
          </a:ln>
          <a:effectLst/>
        </c:spPr>
      </c:pivotFmt>
      <c:pivotFmt>
        <c:idx val="9"/>
        <c:spPr>
          <a:solidFill>
            <a:srgbClr val="00FA06"/>
          </a:solidFill>
          <a:ln>
            <a:noFill/>
          </a:ln>
          <a:effectLst/>
        </c:spPr>
      </c:pivotFmt>
    </c:pivotFmts>
    <c:plotArea>
      <c:layout/>
      <c:barChart>
        <c:barDir val="bar"/>
        <c:grouping val="clustered"/>
        <c:varyColors val="0"/>
        <c:ser>
          <c:idx val="0"/>
          <c:order val="0"/>
          <c:tx>
            <c:strRef>
              <c:f>customerbarchart!$B$3</c:f>
              <c:strCache>
                <c:ptCount val="1"/>
                <c:pt idx="0">
                  <c:v>Total</c:v>
                </c:pt>
              </c:strCache>
            </c:strRef>
          </c:tx>
          <c:spPr>
            <a:solidFill>
              <a:srgbClr val="005F02"/>
            </a:solidFill>
            <a:ln>
              <a:noFill/>
            </a:ln>
            <a:effectLst/>
          </c:spPr>
          <c:invertIfNegative val="0"/>
          <c:dPt>
            <c:idx val="0"/>
            <c:invertIfNegative val="0"/>
            <c:bubble3D val="0"/>
            <c:spPr>
              <a:solidFill>
                <a:srgbClr val="00FA06"/>
              </a:solidFill>
              <a:ln>
                <a:noFill/>
              </a:ln>
              <a:effectLst/>
            </c:spPr>
            <c:extLst>
              <c:ext xmlns:c16="http://schemas.microsoft.com/office/drawing/2014/chart" uri="{C3380CC4-5D6E-409C-BE32-E72D297353CC}">
                <c16:uniqueId val="{00000007-6D61-4EC9-A567-EB37537E8613}"/>
              </c:ext>
            </c:extLst>
          </c:dPt>
          <c:dPt>
            <c:idx val="1"/>
            <c:invertIfNegative val="0"/>
            <c:bubble3D val="0"/>
            <c:spPr>
              <a:solidFill>
                <a:srgbClr val="00DA05"/>
              </a:solidFill>
              <a:ln>
                <a:noFill/>
              </a:ln>
              <a:effectLst/>
            </c:spPr>
            <c:extLst>
              <c:ext xmlns:c16="http://schemas.microsoft.com/office/drawing/2014/chart" uri="{C3380CC4-5D6E-409C-BE32-E72D297353CC}">
                <c16:uniqueId val="{00000001-6D61-4EC9-A567-EB37537E8613}"/>
              </c:ext>
            </c:extLst>
          </c:dPt>
          <c:dPt>
            <c:idx val="2"/>
            <c:invertIfNegative val="0"/>
            <c:bubble3D val="0"/>
            <c:spPr>
              <a:solidFill>
                <a:srgbClr val="009A04"/>
              </a:solidFill>
              <a:ln>
                <a:noFill/>
              </a:ln>
              <a:effectLst/>
            </c:spPr>
            <c:extLst>
              <c:ext xmlns:c16="http://schemas.microsoft.com/office/drawing/2014/chart" uri="{C3380CC4-5D6E-409C-BE32-E72D297353CC}">
                <c16:uniqueId val="{00000003-6D61-4EC9-A567-EB37537E8613}"/>
              </c:ext>
            </c:extLst>
          </c:dPt>
          <c:dPt>
            <c:idx val="3"/>
            <c:invertIfNegative val="0"/>
            <c:bubble3D val="0"/>
            <c:spPr>
              <a:solidFill>
                <a:srgbClr val="007003"/>
              </a:solidFill>
              <a:ln>
                <a:noFill/>
              </a:ln>
              <a:effectLst/>
            </c:spPr>
            <c:extLst>
              <c:ext xmlns:c16="http://schemas.microsoft.com/office/drawing/2014/chart" uri="{C3380CC4-5D6E-409C-BE32-E72D297353CC}">
                <c16:uniqueId val="{00000006-6D61-4EC9-A567-EB37537E8613}"/>
              </c:ext>
            </c:extLst>
          </c:dPt>
          <c:dLbls>
            <c:spPr>
              <a:noFill/>
              <a:ln>
                <a:noFill/>
              </a:ln>
              <a:effectLst/>
            </c:spPr>
            <c:txPr>
              <a:bodyPr rot="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customerbarchart!$A$4:$A$8</c:f>
              <c:strCache>
                <c:ptCount val="5"/>
                <c:pt idx="0">
                  <c:v>Don Flintiff</c:v>
                </c:pt>
                <c:pt idx="1">
                  <c:v>Nealson Cuttler</c:v>
                </c:pt>
                <c:pt idx="2">
                  <c:v>Terri Farra</c:v>
                </c:pt>
                <c:pt idx="3">
                  <c:v>Brenn Dundredge</c:v>
                </c:pt>
                <c:pt idx="4">
                  <c:v>Allis Wilmore</c:v>
                </c:pt>
              </c:strCache>
            </c:strRef>
          </c:cat>
          <c:val>
            <c:numRef>
              <c:f>customerbarchart!$B$4:$B$8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6D61-4EC9-A567-EB37537E8613}"/>
            </c:ext>
          </c:extLst>
        </c:ser>
        <c:dLbls>
          <c:showLegendKey val="0"/>
          <c:showVal val="1"/>
          <c:showCatName val="0"/>
          <c:showSerName val="0"/>
          <c:showPercent val="0"/>
          <c:showBubbleSize val="0"/>
        </c:dLbls>
        <c:gapWidth val="182"/>
        <c:axId val="1502161888"/>
        <c:axId val="1502157728"/>
      </c:barChart>
      <c:catAx>
        <c:axId val="150216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crossAx val="1502157728"/>
        <c:crosses val="autoZero"/>
        <c:auto val="1"/>
        <c:lblAlgn val="ctr"/>
        <c:lblOffset val="100"/>
        <c:noMultiLvlLbl val="0"/>
      </c:catAx>
      <c:valAx>
        <c:axId val="15021577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62F00"/>
                </a:solidFill>
                <a:latin typeface="+mn-lt"/>
                <a:ea typeface="+mn-ea"/>
                <a:cs typeface="+mn-cs"/>
              </a:defRPr>
            </a:pPr>
            <a:endParaRPr lang="en-US"/>
          </a:p>
        </c:txPr>
        <c:crossAx val="1502161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E99"/>
    </a:solidFill>
    <a:ln w="9525" cap="flat" cmpd="sng" algn="ctr">
      <a:noFill/>
      <a:round/>
    </a:ln>
    <a:effectLst/>
  </c:spPr>
  <c:txPr>
    <a:bodyPr/>
    <a:lstStyle/>
    <a:p>
      <a:pPr>
        <a:defRPr>
          <a:solidFill>
            <a:srgbClr val="562F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31750</xdr:colOff>
      <xdr:row>0</xdr:row>
      <xdr:rowOff>47625</xdr:rowOff>
    </xdr:from>
    <xdr:to>
      <xdr:col>26</xdr:col>
      <xdr:colOff>0</xdr:colOff>
      <xdr:row>46</xdr:row>
      <xdr:rowOff>0</xdr:rowOff>
    </xdr:to>
    <xdr:sp macro="" textlink="">
      <xdr:nvSpPr>
        <xdr:cNvPr id="14" name="Rectangle 13">
          <a:extLst>
            <a:ext uri="{FF2B5EF4-FFF2-40B4-BE49-F238E27FC236}">
              <a16:creationId xmlns:a16="http://schemas.microsoft.com/office/drawing/2014/main" id="{35A6C1BB-A775-4D1E-9CDF-F7D811100637}"/>
            </a:ext>
          </a:extLst>
        </xdr:cNvPr>
        <xdr:cNvSpPr/>
      </xdr:nvSpPr>
      <xdr:spPr>
        <a:xfrm>
          <a:off x="142875" y="47625"/>
          <a:ext cx="15049500" cy="8397875"/>
        </a:xfrm>
        <a:prstGeom prst="rect">
          <a:avLst/>
        </a:prstGeom>
        <a:solidFill>
          <a:srgbClr val="FFFDF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0</xdr:row>
      <xdr:rowOff>45356</xdr:rowOff>
    </xdr:from>
    <xdr:to>
      <xdr:col>26</xdr:col>
      <xdr:colOff>0</xdr:colOff>
      <xdr:row>4</xdr:row>
      <xdr:rowOff>181427</xdr:rowOff>
    </xdr:to>
    <xdr:sp macro="" textlink="">
      <xdr:nvSpPr>
        <xdr:cNvPr id="2" name="Rectangle 1">
          <a:extLst>
            <a:ext uri="{FF2B5EF4-FFF2-40B4-BE49-F238E27FC236}">
              <a16:creationId xmlns:a16="http://schemas.microsoft.com/office/drawing/2014/main" id="{DCA0462D-E460-4111-943D-3EED91A8C834}"/>
            </a:ext>
          </a:extLst>
        </xdr:cNvPr>
        <xdr:cNvSpPr/>
      </xdr:nvSpPr>
      <xdr:spPr>
        <a:xfrm>
          <a:off x="117929" y="45356"/>
          <a:ext cx="15194642" cy="743857"/>
        </a:xfrm>
        <a:prstGeom prst="rect">
          <a:avLst/>
        </a:prstGeom>
        <a:solidFill>
          <a:srgbClr val="FFCE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rgbClr val="FFFDF1"/>
              </a:solidFill>
            </a:rPr>
            <a:t>COFFEE</a:t>
          </a:r>
          <a:r>
            <a:rPr lang="en-US" sz="4400" baseline="0">
              <a:solidFill>
                <a:srgbClr val="FFFDF1"/>
              </a:solidFill>
            </a:rPr>
            <a:t> SALES DASHBOARD</a:t>
          </a:r>
          <a:endParaRPr lang="en-US" sz="4400">
            <a:solidFill>
              <a:srgbClr val="FFFDF1"/>
            </a:solidFill>
          </a:endParaRPr>
        </a:p>
      </xdr:txBody>
    </xdr:sp>
    <xdr:clientData/>
  </xdr:twoCellAnchor>
  <xdr:twoCellAnchor>
    <xdr:from>
      <xdr:col>1</xdr:col>
      <xdr:colOff>0</xdr:colOff>
      <xdr:row>16</xdr:row>
      <xdr:rowOff>0</xdr:rowOff>
    </xdr:from>
    <xdr:to>
      <xdr:col>16</xdr:col>
      <xdr:colOff>222250</xdr:colOff>
      <xdr:row>46</xdr:row>
      <xdr:rowOff>0</xdr:rowOff>
    </xdr:to>
    <xdr:graphicFrame macro="">
      <xdr:nvGraphicFramePr>
        <xdr:cNvPr id="3" name="Chart 2">
          <a:extLst>
            <a:ext uri="{FF2B5EF4-FFF2-40B4-BE49-F238E27FC236}">
              <a16:creationId xmlns:a16="http://schemas.microsoft.com/office/drawing/2014/main" id="{2B6F29B7-CCCF-42D7-86BF-45F2D4CCD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60778</xdr:rowOff>
    </xdr:from>
    <xdr:to>
      <xdr:col>20</xdr:col>
      <xdr:colOff>0</xdr:colOff>
      <xdr:row>15</xdr:row>
      <xdr:rowOff>0</xdr:rowOff>
    </xdr:to>
    <mc:AlternateContent xmlns:mc="http://schemas.openxmlformats.org/markup-compatibility/2006">
      <mc:Choice xmlns:tsle="http://schemas.microsoft.com/office/drawing/2012/timeslicer" Requires="tsle">
        <xdr:graphicFrame macro="">
          <xdr:nvGraphicFramePr>
            <xdr:cNvPr id="4" name="Order Date 1">
              <a:extLst>
                <a:ext uri="{FF2B5EF4-FFF2-40B4-BE49-F238E27FC236}">
                  <a16:creationId xmlns:a16="http://schemas.microsoft.com/office/drawing/2014/main" id="{99D6833B-D320-4FF9-961F-06C0C880B854}"/>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13393" y="854528"/>
              <a:ext cx="11634107" cy="164011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174625</xdr:colOff>
      <xdr:row>9</xdr:row>
      <xdr:rowOff>127000</xdr:rowOff>
    </xdr:from>
    <xdr:to>
      <xdr:col>23</xdr:col>
      <xdr:colOff>180068</xdr:colOff>
      <xdr:row>15</xdr:row>
      <xdr:rowOff>7257</xdr:rowOff>
    </xdr:to>
    <mc:AlternateContent xmlns:mc="http://schemas.openxmlformats.org/markup-compatibility/2006">
      <mc:Choice xmlns:a14="http://schemas.microsoft.com/office/drawing/2010/main" Requires="a14">
        <xdr:graphicFrame macro="">
          <xdr:nvGraphicFramePr>
            <xdr:cNvPr id="5" name="Size 1">
              <a:extLst>
                <a:ext uri="{FF2B5EF4-FFF2-40B4-BE49-F238E27FC236}">
                  <a16:creationId xmlns:a16="http://schemas.microsoft.com/office/drawing/2014/main" id="{93AD6F9C-1E2E-49A4-A8A8-915350A37EB7}"/>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1922125" y="1533071"/>
              <a:ext cx="1831068" cy="968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174625</xdr:colOff>
      <xdr:row>6</xdr:row>
      <xdr:rowOff>0</xdr:rowOff>
    </xdr:from>
    <xdr:to>
      <xdr:col>26</xdr:col>
      <xdr:colOff>0</xdr:colOff>
      <xdr:row>9</xdr:row>
      <xdr:rowOff>39913</xdr:rowOff>
    </xdr:to>
    <mc:AlternateContent xmlns:mc="http://schemas.openxmlformats.org/markup-compatibility/2006">
      <mc:Choice xmlns:a14="http://schemas.microsoft.com/office/drawing/2010/main" Requires="a14">
        <xdr:graphicFrame macro="">
          <xdr:nvGraphicFramePr>
            <xdr:cNvPr id="6" name="Roast Type Name 1">
              <a:extLst>
                <a:ext uri="{FF2B5EF4-FFF2-40B4-BE49-F238E27FC236}">
                  <a16:creationId xmlns:a16="http://schemas.microsoft.com/office/drawing/2014/main" id="{5F4DBE3B-444D-4FFF-824C-82875C7E37F2}"/>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922125" y="861786"/>
              <a:ext cx="3487964" cy="584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317501</xdr:colOff>
      <xdr:row>9</xdr:row>
      <xdr:rowOff>142875</xdr:rowOff>
    </xdr:from>
    <xdr:to>
      <xdr:col>26</xdr:col>
      <xdr:colOff>1</xdr:colOff>
      <xdr:row>15</xdr:row>
      <xdr:rowOff>-1</xdr:rowOff>
    </xdr:to>
    <mc:AlternateContent xmlns:mc="http://schemas.openxmlformats.org/markup-compatibility/2006">
      <mc:Choice xmlns:a14="http://schemas.microsoft.com/office/drawing/2010/main" Requires="a14">
        <xdr:graphicFrame macro="">
          <xdr:nvGraphicFramePr>
            <xdr:cNvPr id="7" name="Loyalty Card 1">
              <a:extLst>
                <a:ext uri="{FF2B5EF4-FFF2-40B4-BE49-F238E27FC236}">
                  <a16:creationId xmlns:a16="http://schemas.microsoft.com/office/drawing/2014/main" id="{4383FEEC-5D1A-4C84-B602-D57B4568F4E8}"/>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3890626" y="1548946"/>
              <a:ext cx="1519464" cy="9456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317500</xdr:colOff>
      <xdr:row>16</xdr:row>
      <xdr:rowOff>0</xdr:rowOff>
    </xdr:from>
    <xdr:to>
      <xdr:col>26</xdr:col>
      <xdr:colOff>0</xdr:colOff>
      <xdr:row>30</xdr:row>
      <xdr:rowOff>76200</xdr:rowOff>
    </xdr:to>
    <xdr:graphicFrame macro="">
      <xdr:nvGraphicFramePr>
        <xdr:cNvPr id="12" name="Chart 11">
          <a:extLst>
            <a:ext uri="{FF2B5EF4-FFF2-40B4-BE49-F238E27FC236}">
              <a16:creationId xmlns:a16="http://schemas.microsoft.com/office/drawing/2014/main" id="{F5F49487-4042-48F3-9D61-D8BAE44E3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349250</xdr:colOff>
      <xdr:row>31</xdr:row>
      <xdr:rowOff>0</xdr:rowOff>
    </xdr:from>
    <xdr:to>
      <xdr:col>26</xdr:col>
      <xdr:colOff>0</xdr:colOff>
      <xdr:row>46</xdr:row>
      <xdr:rowOff>0</xdr:rowOff>
    </xdr:to>
    <xdr:graphicFrame macro="">
      <xdr:nvGraphicFramePr>
        <xdr:cNvPr id="13" name="Chart 12">
          <a:extLst>
            <a:ext uri="{FF2B5EF4-FFF2-40B4-BE49-F238E27FC236}">
              <a16:creationId xmlns:a16="http://schemas.microsoft.com/office/drawing/2014/main" id="{8BC99750-28DC-4DFE-908F-B9C1062B6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604156</xdr:colOff>
      <xdr:row>12</xdr:row>
      <xdr:rowOff>145142</xdr:rowOff>
    </xdr:from>
    <xdr:to>
      <xdr:col>19</xdr:col>
      <xdr:colOff>444500</xdr:colOff>
      <xdr:row>38</xdr:row>
      <xdr:rowOff>38100</xdr:rowOff>
    </xdr:to>
    <xdr:graphicFrame macro="">
      <xdr:nvGraphicFramePr>
        <xdr:cNvPr id="2" name="Chart 1">
          <a:extLst>
            <a:ext uri="{FF2B5EF4-FFF2-40B4-BE49-F238E27FC236}">
              <a16:creationId xmlns:a16="http://schemas.microsoft.com/office/drawing/2014/main" id="{0A1A04F2-EAD0-4D67-8774-4F3376688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16329</xdr:colOff>
      <xdr:row>4</xdr:row>
      <xdr:rowOff>107043</xdr:rowOff>
    </xdr:from>
    <xdr:to>
      <xdr:col>19</xdr:col>
      <xdr:colOff>444500</xdr:colOff>
      <xdr:row>12</xdr:row>
      <xdr:rowOff>18143</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209553E9-094A-48FB-826F-CDCFF0FD7C99}"/>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925129" y="869043"/>
              <a:ext cx="7743371" cy="1435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26</xdr:col>
      <xdr:colOff>469900</xdr:colOff>
      <xdr:row>8</xdr:row>
      <xdr:rowOff>171451</xdr:rowOff>
    </xdr:from>
    <xdr:to>
      <xdr:col>29</xdr:col>
      <xdr:colOff>469900</xdr:colOff>
      <xdr:row>13</xdr:row>
      <xdr:rowOff>127001</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8269F5C4-8E2B-496A-8BAC-141117BA27F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8961100" y="1695451"/>
              <a:ext cx="1828800" cy="908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590550</xdr:colOff>
      <xdr:row>4</xdr:row>
      <xdr:rowOff>88901</xdr:rowOff>
    </xdr:from>
    <xdr:to>
      <xdr:col>23</xdr:col>
      <xdr:colOff>571500</xdr:colOff>
      <xdr:row>7</xdr:row>
      <xdr:rowOff>101600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763A7FD6-0C46-4BE1-9BF9-7D822CE3159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4814550" y="850901"/>
              <a:ext cx="2419350" cy="584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12700</xdr:colOff>
      <xdr:row>8</xdr:row>
      <xdr:rowOff>171450</xdr:rowOff>
    </xdr:from>
    <xdr:to>
      <xdr:col>31</xdr:col>
      <xdr:colOff>520700</xdr:colOff>
      <xdr:row>13</xdr:row>
      <xdr:rowOff>139699</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56EE7D1A-B5C9-4131-A09D-26A2F31226F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20942300" y="1695450"/>
              <a:ext cx="1117600" cy="920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488950</xdr:colOff>
      <xdr:row>13</xdr:row>
      <xdr:rowOff>101600</xdr:rowOff>
    </xdr:from>
    <xdr:to>
      <xdr:col>13</xdr:col>
      <xdr:colOff>44450</xdr:colOff>
      <xdr:row>27</xdr:row>
      <xdr:rowOff>177800</xdr:rowOff>
    </xdr:to>
    <xdr:graphicFrame macro="">
      <xdr:nvGraphicFramePr>
        <xdr:cNvPr id="7" name="Chart 6">
          <a:extLst>
            <a:ext uri="{FF2B5EF4-FFF2-40B4-BE49-F238E27FC236}">
              <a16:creationId xmlns:a16="http://schemas.microsoft.com/office/drawing/2014/main" id="{A638A500-566C-4BC1-B89B-B99349A1B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488950</xdr:colOff>
      <xdr:row>13</xdr:row>
      <xdr:rowOff>101600</xdr:rowOff>
    </xdr:from>
    <xdr:to>
      <xdr:col>13</xdr:col>
      <xdr:colOff>44450</xdr:colOff>
      <xdr:row>27</xdr:row>
      <xdr:rowOff>177800</xdr:rowOff>
    </xdr:to>
    <xdr:graphicFrame macro="">
      <xdr:nvGraphicFramePr>
        <xdr:cNvPr id="2" name="Chart 1">
          <a:extLst>
            <a:ext uri="{FF2B5EF4-FFF2-40B4-BE49-F238E27FC236}">
              <a16:creationId xmlns:a16="http://schemas.microsoft.com/office/drawing/2014/main" id="{0A4DCA5C-0F92-4DB9-B2B7-D11255698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refreshedDate="46078.719997453707" createdVersion="7" refreshedVersion="7" minRefreshableVersion="3" recordCount="1000" xr:uid="{92E6B7D1-DF30-4AFD-B08F-8C0B5387236E}">
  <cacheSource type="worksheet">
    <worksheetSource name="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03474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AA4BBF-BD2E-48FB-9E5B-61003364381D}" name="total_sales" cacheId="13"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8">
  <location ref="A3:F48" firstHeaderRow="1" firstDataRow="2" firstDataCol="2"/>
  <pivotFields count="17">
    <pivotField compact="0" outline="0" showAll="0" defaultSubtotal="0"/>
    <pivotField axis="axisRow"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4" numFmtId="3"/>
  </dataFields>
  <chartFormats count="12">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7" format="12" series="1">
      <pivotArea type="data" outline="0" fieldPosition="0">
        <references count="2">
          <reference field="4294967294" count="1" selected="0">
            <x v="0"/>
          </reference>
          <reference field="13" count="1" selected="0">
            <x v="0"/>
          </reference>
        </references>
      </pivotArea>
    </chartFormat>
    <chartFormat chart="7" format="13" series="1">
      <pivotArea type="data" outline="0" fieldPosition="0">
        <references count="2">
          <reference field="4294967294" count="1" selected="0">
            <x v="0"/>
          </reference>
          <reference field="13" count="1" selected="0">
            <x v="1"/>
          </reference>
        </references>
      </pivotArea>
    </chartFormat>
    <chartFormat chart="7" format="14" series="1">
      <pivotArea type="data" outline="0" fieldPosition="0">
        <references count="2">
          <reference field="4294967294" count="1" selected="0">
            <x v="0"/>
          </reference>
          <reference field="13" count="1" selected="0">
            <x v="2"/>
          </reference>
        </references>
      </pivotArea>
    </chartFormat>
    <chartFormat chart="7"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391188-7764-436D-B562-386D6E0AF69C}" name="total_sales" cacheId="13"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9">
  <location ref="A3:B6" firstHeaderRow="1" firstDataRow="1" firstDataCol="1"/>
  <pivotFields count="17">
    <pivotField compact="0" outline="0" showAll="0" defaultSubtotal="0"/>
    <pivotField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3"/>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0AAC45-4AB0-412C-BF39-7B48168C2D67}" name="total_sales" cacheId="13"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0">
  <location ref="A3:B8" firstHeaderRow="1" firstDataRow="1" firstDataCol="1"/>
  <pivotFields count="17">
    <pivotField compact="0" outline="0" showAll="0" defaultSubtotal="0"/>
    <pivotField compact="0" numFmtId="166"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3"/>
  </dataFields>
  <chartFormats count="12">
    <chartFormat chart="2"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5" count="1" selected="0">
            <x v="125"/>
          </reference>
        </references>
      </pivotArea>
    </chartFormat>
    <chartFormat chart="6" format="7">
      <pivotArea type="data" outline="0" fieldPosition="0">
        <references count="2">
          <reference field="4294967294" count="1" selected="0">
            <x v="0"/>
          </reference>
          <reference field="5" count="1" selected="0">
            <x v="831"/>
          </reference>
        </references>
      </pivotArea>
    </chartFormat>
    <chartFormat chart="6" format="8">
      <pivotArea type="data" outline="0" fieldPosition="0">
        <references count="2">
          <reference field="4294967294" count="1" selected="0">
            <x v="0"/>
          </reference>
          <reference field="5" count="1" selected="0">
            <x v="646"/>
          </reference>
        </references>
      </pivotArea>
    </chartFormat>
    <chartFormat chart="6" format="9">
      <pivotArea type="data" outline="0" fieldPosition="0">
        <references count="2">
          <reference field="4294967294" count="1" selected="0">
            <x v="0"/>
          </reference>
          <reference field="5" count="1" selected="0">
            <x v="255"/>
          </reference>
        </references>
      </pivotArea>
    </chartFormat>
    <chartFormat chart="9" format="15" series="1">
      <pivotArea type="data" outline="0" fieldPosition="0">
        <references count="1">
          <reference field="4294967294" count="1" selected="0">
            <x v="0"/>
          </reference>
        </references>
      </pivotArea>
    </chartFormat>
    <chartFormat chart="9" format="16">
      <pivotArea type="data" outline="0" fieldPosition="0">
        <references count="2">
          <reference field="4294967294" count="1" selected="0">
            <x v="0"/>
          </reference>
          <reference field="5" count="1" selected="0">
            <x v="255"/>
          </reference>
        </references>
      </pivotArea>
    </chartFormat>
    <chartFormat chart="9" format="17">
      <pivotArea type="data" outline="0" fieldPosition="0">
        <references count="2">
          <reference field="4294967294" count="1" selected="0">
            <x v="0"/>
          </reference>
          <reference field="5" count="1" selected="0">
            <x v="646"/>
          </reference>
        </references>
      </pivotArea>
    </chartFormat>
    <chartFormat chart="9" format="18">
      <pivotArea type="data" outline="0" fieldPosition="0">
        <references count="2">
          <reference field="4294967294" count="1" selected="0">
            <x v="0"/>
          </reference>
          <reference field="5" count="1" selected="0">
            <x v="831"/>
          </reference>
        </references>
      </pivotArea>
    </chartFormat>
    <chartFormat chart="9" format="19">
      <pivotArea type="data" outline="0" fieldPosition="0">
        <references count="2">
          <reference field="4294967294" count="1" selected="0">
            <x v="0"/>
          </reference>
          <reference field="5" count="1" selected="0">
            <x v="125"/>
          </reference>
        </references>
      </pivotArea>
    </chartFormat>
  </chartFormats>
  <pivotTableStyleInfo name="PivotStyleMedium9" showRowHeaders="1" showColHeaders="1" showRowStripes="0" showColStripes="0" showLastColumn="1"/>
  <filters count="1">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3AE03E04-4D8E-41E5-AF11-5E55E15A0D0E}" sourceName="Loyalty Card">
  <pivotTables>
    <pivotTable tabId="18" name="total_sales"/>
    <pivotTable tabId="19" name="total_sales"/>
    <pivotTable tabId="20" name="total_sales"/>
  </pivotTables>
  <data>
    <tabular pivotCacheId="30347404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D75DBBC-DB80-4BB2-BD78-BE5273F36193}" sourceName="Size">
  <pivotTables>
    <pivotTable tabId="18" name="total_sales"/>
    <pivotTable tabId="19" name="total_sales"/>
    <pivotTable tabId="20" name="total_sales"/>
  </pivotTables>
  <data>
    <tabular pivotCacheId="30347404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152A33C0-19C3-4E97-A40F-72B9B0718E81}" sourceName="Roast Type Name">
  <pivotTables>
    <pivotTable tabId="18" name="total_sales"/>
    <pivotTable tabId="19" name="total_sales"/>
    <pivotTable tabId="20" name="total_sales"/>
  </pivotTables>
  <data>
    <tabular pivotCacheId="30347404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875577BC-663B-45D9-A878-81827FC6FAAA}" cache="Slicer_Loyalty_Card" caption="Loyalty Card" style="sclicer1111" rowHeight="241300"/>
  <slicer name="Size 1" xr10:uid="{FFAA682E-F7F7-4D65-8C98-325B5D56182C}" cache="Slicer_Size" caption="Size" columnCount="2" style="sclicer1111" rowHeight="241300"/>
  <slicer name="Roast Type Name 1" xr10:uid="{6B6379F6-FAFE-4A69-AAD4-4C818B9D5CCB}" cache="Slicer_Roast_Type_Name" caption="Roast Type Name" columnCount="3" style="sclicer111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4D8544F4-1CF8-4619-B635-B3BEFABE6EDE}" cache="Slicer_Loyalty_Card" caption="Loyalty Card" style="sclicer1111" rowHeight="241300"/>
  <slicer name="Size" xr10:uid="{20FBF440-0D9B-4497-864A-B4A24F3D254F}" cache="Slicer_Size" caption="Size" columnCount="2" style="sclicer1111" rowHeight="241300"/>
  <slicer name="Roast Type Name" xr10:uid="{1DA1EC95-8B86-4BB1-80CB-37275520D5E2}" cache="Slicer_Roast_Type_Name" caption="Roast Type Name" columnCount="3" style="sclicer111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9C158C-ACCA-46CF-A85B-2EC3AE52D7A7}" name="orders" displayName="orders" ref="A1:P1001" totalsRowShown="0" headerRowDxfId="5">
  <autoFilter ref="A1:P1001" xr:uid="{C49C158C-ACCA-46CF-A85B-2EC3AE52D7A7}"/>
  <tableColumns count="16">
    <tableColumn id="1" xr3:uid="{680A5F3C-EC6E-49C4-83B6-7AD356163DA2}" name="Order ID" dataDxfId="15"/>
    <tableColumn id="2" xr3:uid="{3D0CAD42-9DBD-44C0-A4F3-A15CFA3306BA}" name="Order Date" dataDxfId="14"/>
    <tableColumn id="3" xr3:uid="{24C49B61-C51D-40E6-86AE-B0A39684B25B}" name="Customer ID" dataDxfId="13"/>
    <tableColumn id="4" xr3:uid="{AB412DE9-C695-4A1C-9532-0B3CAFD9E568}" name="Product ID"/>
    <tableColumn id="5" xr3:uid="{F405705E-0170-432A-97BE-E90B54CC5268}" name="Quantity" dataDxfId="12"/>
    <tableColumn id="6" xr3:uid="{40B0BAC4-40A8-4F03-A133-99F7D6BFE074}" name="Customer Name" dataDxfId="11">
      <calculatedColumnFormula>_xlfn.XLOOKUP(C2,customers!$A$1:$A$1001,customers!$B$1:$B$1001,,0)</calculatedColumnFormula>
    </tableColumn>
    <tableColumn id="7" xr3:uid="{4FABD00D-2F4A-45AC-A65C-39C8053C0E3F}" name="Email" dataDxfId="10">
      <calculatedColumnFormula>IF(_xlfn.XLOOKUP(C2,customers!$A$1:$A$1001,customers!$C$1:$C$1001,,0) = 0, "", _xlfn.XLOOKUP(C2,customers!$A$1:$A$1001,customers!$C$1:$C$1001,,0))</calculatedColumnFormula>
    </tableColumn>
    <tableColumn id="8" xr3:uid="{DF3A6EA3-2283-418E-898E-22AB15AD8D28}" name="Country" dataDxfId="9">
      <calculatedColumnFormula>_xlfn.XLOOKUP(C2,customers!$A$1:$A$1001,customers!$G$1:$G$1001,,0)</calculatedColumnFormula>
    </tableColumn>
    <tableColumn id="9" xr3:uid="{040444B3-C83A-4596-B48B-03B2D6C173E6}" name="Coffee Type">
      <calculatedColumnFormula>INDEX(products!$A$1:$G$49,MATCH(orders!$D2,products!$A$1:$A$49,0),MATCH(orders!I$1,products!$A$1:$G$1,0))</calculatedColumnFormula>
    </tableColumn>
    <tableColumn id="10" xr3:uid="{0100764A-291A-4A04-8344-D797879644A7}" name="Roast Type">
      <calculatedColumnFormula>INDEX(products!$A$1:$G$49,MATCH(orders!$D2,products!$A$1:$A$49,0),MATCH(orders!J$1,products!$A$1:$G$1,0))</calculatedColumnFormula>
    </tableColumn>
    <tableColumn id="11" xr3:uid="{B0701C9E-C9DB-42BF-8E30-005B457CBACE}" name="Size" dataDxfId="8">
      <calculatedColumnFormula>INDEX(products!$A$1:$G$49,MATCH(orders!$D2,products!$A$1:$A$49,0),MATCH(orders!K$1,products!$A$1:$G$1,0))</calculatedColumnFormula>
    </tableColumn>
    <tableColumn id="12" xr3:uid="{44A83C4B-51CD-4BEA-BB0D-2DE0B017E646}" name="Unit Price" dataDxfId="7">
      <calculatedColumnFormula>INDEX(products!$A$1:$G$49,MATCH(orders!$D2,products!$A$1:$A$49,0),MATCH(orders!L$1,products!$A$1:$G$1,0))</calculatedColumnFormula>
    </tableColumn>
    <tableColumn id="13" xr3:uid="{1FD70F24-27D0-42D2-A5DC-41E2DD8179C7}" name="Sales" dataDxfId="6">
      <calculatedColumnFormula>SUM(L2*E2)</calculatedColumnFormula>
    </tableColumn>
    <tableColumn id="14" xr3:uid="{79EA5DCC-522A-4B21-8545-C02E6A4F819D}" name="Coffee Type Name">
      <calculatedColumnFormula array="1">_xlfn.IFS(I2 = "Rob", "Robusta", I2 = "Exc", "Excelsa", I2 = "Ara", "Arabica", I2 = "Lib", "Liberica")</calculatedColumnFormula>
    </tableColumn>
    <tableColumn id="15" xr3:uid="{EA21527F-ED1C-4619-BA3D-C9212D75224B}" name="Roast Type Name">
      <calculatedColumnFormula>IF(J2 = "M", "Medium", IF(J2= "L", "Light",IF( J2 = "D", "Dark")))</calculatedColumnFormula>
    </tableColumn>
    <tableColumn id="16" xr3:uid="{83A618E2-1B95-4CF8-A01A-CB916E116C4F}" name="Loyalty Card" dataDxfId="2">
      <calculatedColumnFormula>_xlfn.XLOOKUP(orders[[#This Row],[Customer ID]],customers!$A$1:$A$1001,customers!$I$1:$I$1001)</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70254AC-DEE0-41DE-8275-48BAB3924BCF}" sourceName="Order Date">
  <pivotTables>
    <pivotTable tabId="18" name="total_sales"/>
    <pivotTable tabId="19" name="total_sales"/>
    <pivotTable tabId="20" name="total_sales"/>
  </pivotTables>
  <state minimalRefreshVersion="6" lastRefreshVersion="6" pivotCacheId="30347404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BD854DDA-3C49-4455-B419-B829BA99B436}" cache="NativeTimeline_Order_Date" caption="Order Date" level="2" selectionLevel="2" scrollPosition="2019-12-26T00:00:00" style="timeline11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E1E445C-7B09-4BE8-B9FE-88CAB6166BBB}" cache="NativeTimeline_Order_Date" caption="Order Date" level="2" selectionLevel="2" scrollPosition="2019-12-26T00:00:00" style="timeline11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CA652-0296-494B-8C9C-27F32E3E97A7}">
  <dimension ref="A1:A16"/>
  <sheetViews>
    <sheetView showGridLines="0" showRowColHeaders="0" tabSelected="1" zoomScale="56" zoomScaleNormal="56" workbookViewId="0">
      <selection activeCell="AF16" sqref="AF16"/>
    </sheetView>
  </sheetViews>
  <sheetFormatPr defaultRowHeight="14.5" x14ac:dyDescent="0.35"/>
  <cols>
    <col min="1" max="1" width="1.6328125" customWidth="1"/>
    <col min="21" max="21" width="8.6328125" customWidth="1"/>
  </cols>
  <sheetData>
    <row r="1" ht="5" customHeight="1" x14ac:dyDescent="0.35"/>
    <row r="6" ht="5" customHeight="1" x14ac:dyDescent="0.35"/>
    <row r="16" ht="10"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2804A-205A-4225-A5B9-C2E4F95D48A8}">
  <dimension ref="A3:F48"/>
  <sheetViews>
    <sheetView topLeftCell="F4" zoomScale="50" zoomScaleNormal="50" workbookViewId="0">
      <selection activeCell="Y15" sqref="Y15"/>
    </sheetView>
  </sheetViews>
  <sheetFormatPr defaultRowHeight="14.5" x14ac:dyDescent="0.35"/>
  <cols>
    <col min="1" max="1" width="13.08984375" bestFit="1" customWidth="1"/>
    <col min="2" max="2" width="18.08984375" bestFit="1" customWidth="1"/>
    <col min="3" max="3" width="27" bestFit="1" customWidth="1"/>
    <col min="4" max="4" width="10.26953125" bestFit="1" customWidth="1"/>
    <col min="5" max="6" width="10.6328125" bestFit="1" customWidth="1"/>
  </cols>
  <sheetData>
    <row r="3" spans="1:6" x14ac:dyDescent="0.35">
      <c r="A3" s="6" t="s">
        <v>6219</v>
      </c>
      <c r="C3" s="6" t="s">
        <v>6196</v>
      </c>
    </row>
    <row r="4" spans="1:6" x14ac:dyDescent="0.35">
      <c r="A4" s="6" t="s">
        <v>6214</v>
      </c>
      <c r="B4" s="6" t="s">
        <v>1</v>
      </c>
      <c r="C4" t="s">
        <v>6215</v>
      </c>
      <c r="D4" t="s">
        <v>6216</v>
      </c>
      <c r="E4" t="s">
        <v>6217</v>
      </c>
      <c r="F4" t="s">
        <v>6218</v>
      </c>
    </row>
    <row r="5" spans="1:6" x14ac:dyDescent="0.35">
      <c r="A5" t="s">
        <v>6198</v>
      </c>
      <c r="B5" s="7" t="s">
        <v>6199</v>
      </c>
      <c r="C5" s="8">
        <v>186.85499999999999</v>
      </c>
      <c r="D5" s="8">
        <v>305.97000000000003</v>
      </c>
      <c r="E5" s="8">
        <v>213.15999999999997</v>
      </c>
      <c r="F5" s="8">
        <v>123</v>
      </c>
    </row>
    <row r="6" spans="1:6" x14ac:dyDescent="0.35">
      <c r="B6" s="7" t="s">
        <v>6200</v>
      </c>
      <c r="C6" s="8">
        <v>251.96499999999997</v>
      </c>
      <c r="D6" s="8">
        <v>129.46</v>
      </c>
      <c r="E6" s="8">
        <v>434.03999999999996</v>
      </c>
      <c r="F6" s="8">
        <v>171.93999999999997</v>
      </c>
    </row>
    <row r="7" spans="1:6" x14ac:dyDescent="0.35">
      <c r="B7" s="7" t="s">
        <v>6201</v>
      </c>
      <c r="C7" s="8">
        <v>224.94499999999999</v>
      </c>
      <c r="D7" s="8">
        <v>349.12</v>
      </c>
      <c r="E7" s="8">
        <v>321.04000000000002</v>
      </c>
      <c r="F7" s="8">
        <v>126.035</v>
      </c>
    </row>
    <row r="8" spans="1:6" x14ac:dyDescent="0.35">
      <c r="B8" s="7" t="s">
        <v>6202</v>
      </c>
      <c r="C8" s="8">
        <v>307.12</v>
      </c>
      <c r="D8" s="8">
        <v>681.07499999999993</v>
      </c>
      <c r="E8" s="8">
        <v>533.70499999999993</v>
      </c>
      <c r="F8" s="8">
        <v>158.85</v>
      </c>
    </row>
    <row r="9" spans="1:6" x14ac:dyDescent="0.35">
      <c r="B9" s="7" t="s">
        <v>6203</v>
      </c>
      <c r="C9" s="8">
        <v>53.664999999999992</v>
      </c>
      <c r="D9" s="8">
        <v>83.025000000000006</v>
      </c>
      <c r="E9" s="8">
        <v>193.83499999999998</v>
      </c>
      <c r="F9" s="8">
        <v>68.039999999999992</v>
      </c>
    </row>
    <row r="10" spans="1:6" x14ac:dyDescent="0.35">
      <c r="B10" s="7" t="s">
        <v>6204</v>
      </c>
      <c r="C10" s="8">
        <v>163.01999999999998</v>
      </c>
      <c r="D10" s="8">
        <v>678.3599999999999</v>
      </c>
      <c r="E10" s="8">
        <v>171.04500000000002</v>
      </c>
      <c r="F10" s="8">
        <v>372.255</v>
      </c>
    </row>
    <row r="11" spans="1:6" x14ac:dyDescent="0.35">
      <c r="B11" s="7" t="s">
        <v>6205</v>
      </c>
      <c r="C11" s="8">
        <v>345.02</v>
      </c>
      <c r="D11" s="8">
        <v>273.86999999999995</v>
      </c>
      <c r="E11" s="8">
        <v>184.12999999999997</v>
      </c>
      <c r="F11" s="8">
        <v>201.11499999999998</v>
      </c>
    </row>
    <row r="12" spans="1:6" x14ac:dyDescent="0.35">
      <c r="B12" s="7" t="s">
        <v>6206</v>
      </c>
      <c r="C12" s="8">
        <v>334.89</v>
      </c>
      <c r="D12" s="8">
        <v>70.95</v>
      </c>
      <c r="E12" s="8">
        <v>134.23000000000002</v>
      </c>
      <c r="F12" s="8">
        <v>166.27499999999998</v>
      </c>
    </row>
    <row r="13" spans="1:6" x14ac:dyDescent="0.35">
      <c r="B13" s="7" t="s">
        <v>6207</v>
      </c>
      <c r="C13" s="8">
        <v>178.70999999999998</v>
      </c>
      <c r="D13" s="8">
        <v>166.1</v>
      </c>
      <c r="E13" s="8">
        <v>439.30999999999995</v>
      </c>
      <c r="F13" s="8">
        <v>492.9</v>
      </c>
    </row>
    <row r="14" spans="1:6" x14ac:dyDescent="0.35">
      <c r="B14" s="7" t="s">
        <v>6208</v>
      </c>
      <c r="C14" s="8">
        <v>301.98500000000001</v>
      </c>
      <c r="D14" s="8">
        <v>153.76499999999999</v>
      </c>
      <c r="E14" s="8">
        <v>215.55499999999998</v>
      </c>
      <c r="F14" s="8">
        <v>213.66499999999999</v>
      </c>
    </row>
    <row r="15" spans="1:6" x14ac:dyDescent="0.35">
      <c r="B15" s="7" t="s">
        <v>6209</v>
      </c>
      <c r="C15" s="8">
        <v>312.83499999999998</v>
      </c>
      <c r="D15" s="8">
        <v>63.249999999999993</v>
      </c>
      <c r="E15" s="8">
        <v>350.89500000000004</v>
      </c>
      <c r="F15" s="8">
        <v>96.405000000000001</v>
      </c>
    </row>
    <row r="16" spans="1:6" x14ac:dyDescent="0.35">
      <c r="B16" s="7" t="s">
        <v>6210</v>
      </c>
      <c r="C16" s="8">
        <v>265.62</v>
      </c>
      <c r="D16" s="8">
        <v>526.51499999999987</v>
      </c>
      <c r="E16" s="8">
        <v>187.06</v>
      </c>
      <c r="F16" s="8">
        <v>210.58999999999997</v>
      </c>
    </row>
    <row r="17" spans="1:6" x14ac:dyDescent="0.35">
      <c r="A17" t="s">
        <v>6211</v>
      </c>
      <c r="B17" s="7" t="s">
        <v>6199</v>
      </c>
      <c r="C17" s="8">
        <v>47.25</v>
      </c>
      <c r="D17" s="8">
        <v>65.805000000000007</v>
      </c>
      <c r="E17" s="8">
        <v>274.67500000000001</v>
      </c>
      <c r="F17" s="8">
        <v>179.22</v>
      </c>
    </row>
    <row r="18" spans="1:6" x14ac:dyDescent="0.35">
      <c r="B18" s="7" t="s">
        <v>6200</v>
      </c>
      <c r="C18" s="8">
        <v>745.44999999999993</v>
      </c>
      <c r="D18" s="8">
        <v>428.88499999999999</v>
      </c>
      <c r="E18" s="8">
        <v>194.17499999999998</v>
      </c>
      <c r="F18" s="8">
        <v>429.82999999999993</v>
      </c>
    </row>
    <row r="19" spans="1:6" x14ac:dyDescent="0.35">
      <c r="B19" s="7" t="s">
        <v>6201</v>
      </c>
      <c r="C19" s="8">
        <v>130.47</v>
      </c>
      <c r="D19" s="8">
        <v>271.48500000000001</v>
      </c>
      <c r="E19" s="8">
        <v>281.20499999999998</v>
      </c>
      <c r="F19" s="8">
        <v>231.63000000000002</v>
      </c>
    </row>
    <row r="20" spans="1:6" x14ac:dyDescent="0.35">
      <c r="B20" s="7" t="s">
        <v>6202</v>
      </c>
      <c r="C20" s="8">
        <v>27</v>
      </c>
      <c r="D20" s="8">
        <v>347.26</v>
      </c>
      <c r="E20" s="8">
        <v>147.51</v>
      </c>
      <c r="F20" s="8">
        <v>240.04</v>
      </c>
    </row>
    <row r="21" spans="1:6" x14ac:dyDescent="0.35">
      <c r="B21" s="7" t="s">
        <v>6203</v>
      </c>
      <c r="C21" s="8">
        <v>255.11499999999995</v>
      </c>
      <c r="D21" s="8">
        <v>541.73</v>
      </c>
      <c r="E21" s="8">
        <v>83.43</v>
      </c>
      <c r="F21" s="8">
        <v>59.079999999999991</v>
      </c>
    </row>
    <row r="22" spans="1:6" x14ac:dyDescent="0.35">
      <c r="B22" s="7" t="s">
        <v>6204</v>
      </c>
      <c r="C22" s="8">
        <v>584.78999999999985</v>
      </c>
      <c r="D22" s="8">
        <v>357.42999999999995</v>
      </c>
      <c r="E22" s="8">
        <v>355.34</v>
      </c>
      <c r="F22" s="8">
        <v>140.88</v>
      </c>
    </row>
    <row r="23" spans="1:6" x14ac:dyDescent="0.35">
      <c r="B23" s="7" t="s">
        <v>6205</v>
      </c>
      <c r="C23" s="8">
        <v>430.62</v>
      </c>
      <c r="D23" s="8">
        <v>227.42500000000001</v>
      </c>
      <c r="E23" s="8">
        <v>236.315</v>
      </c>
      <c r="F23" s="8">
        <v>414.58499999999992</v>
      </c>
    </row>
    <row r="24" spans="1:6" x14ac:dyDescent="0.35">
      <c r="B24" s="7" t="s">
        <v>6206</v>
      </c>
      <c r="C24" s="8">
        <v>22.5</v>
      </c>
      <c r="D24" s="8">
        <v>77.72</v>
      </c>
      <c r="E24" s="8">
        <v>60.5</v>
      </c>
      <c r="F24" s="8">
        <v>139.67999999999998</v>
      </c>
    </row>
    <row r="25" spans="1:6" x14ac:dyDescent="0.35">
      <c r="B25" s="7" t="s">
        <v>6207</v>
      </c>
      <c r="C25" s="8">
        <v>126.14999999999999</v>
      </c>
      <c r="D25" s="8">
        <v>195.11</v>
      </c>
      <c r="E25" s="8">
        <v>89.13</v>
      </c>
      <c r="F25" s="8">
        <v>302.65999999999997</v>
      </c>
    </row>
    <row r="26" spans="1:6" x14ac:dyDescent="0.35">
      <c r="B26" s="7" t="s">
        <v>6208</v>
      </c>
      <c r="C26" s="8">
        <v>376.03</v>
      </c>
      <c r="D26" s="8">
        <v>523.24</v>
      </c>
      <c r="E26" s="8">
        <v>440.96499999999997</v>
      </c>
      <c r="F26" s="8">
        <v>174.46999999999997</v>
      </c>
    </row>
    <row r="27" spans="1:6" x14ac:dyDescent="0.35">
      <c r="B27" s="7" t="s">
        <v>6209</v>
      </c>
      <c r="C27" s="8">
        <v>515.17999999999995</v>
      </c>
      <c r="D27" s="8">
        <v>142.56</v>
      </c>
      <c r="E27" s="8">
        <v>347.03999999999996</v>
      </c>
      <c r="F27" s="8">
        <v>104.08499999999999</v>
      </c>
    </row>
    <row r="28" spans="1:6" x14ac:dyDescent="0.35">
      <c r="B28" s="7" t="s">
        <v>6210</v>
      </c>
      <c r="C28" s="8">
        <v>95.859999999999985</v>
      </c>
      <c r="D28" s="8">
        <v>484.76</v>
      </c>
      <c r="E28" s="8">
        <v>94.17</v>
      </c>
      <c r="F28" s="8">
        <v>77.10499999999999</v>
      </c>
    </row>
    <row r="29" spans="1:6" x14ac:dyDescent="0.35">
      <c r="A29" t="s">
        <v>6212</v>
      </c>
      <c r="B29" s="7" t="s">
        <v>6199</v>
      </c>
      <c r="C29" s="8">
        <v>258.34500000000003</v>
      </c>
      <c r="D29" s="8">
        <v>139.625</v>
      </c>
      <c r="E29" s="8">
        <v>279.52000000000004</v>
      </c>
      <c r="F29" s="8">
        <v>160.19499999999999</v>
      </c>
    </row>
    <row r="30" spans="1:6" x14ac:dyDescent="0.35">
      <c r="B30" s="7" t="s">
        <v>6200</v>
      </c>
      <c r="C30" s="8">
        <v>342.2</v>
      </c>
      <c r="D30" s="8">
        <v>284.24999999999994</v>
      </c>
      <c r="E30" s="8">
        <v>251.83</v>
      </c>
      <c r="F30" s="8">
        <v>80.550000000000011</v>
      </c>
    </row>
    <row r="31" spans="1:6" x14ac:dyDescent="0.35">
      <c r="B31" s="7" t="s">
        <v>6201</v>
      </c>
      <c r="C31" s="8">
        <v>418.30499999999989</v>
      </c>
      <c r="D31" s="8">
        <v>468.125</v>
      </c>
      <c r="E31" s="8">
        <v>405.05500000000006</v>
      </c>
      <c r="F31" s="8">
        <v>253.15499999999997</v>
      </c>
    </row>
    <row r="32" spans="1:6" x14ac:dyDescent="0.35">
      <c r="B32" s="7" t="s">
        <v>6202</v>
      </c>
      <c r="C32" s="8">
        <v>102.32999999999998</v>
      </c>
      <c r="D32" s="8">
        <v>242.14000000000001</v>
      </c>
      <c r="E32" s="8">
        <v>554.875</v>
      </c>
      <c r="F32" s="8">
        <v>106.23999999999998</v>
      </c>
    </row>
    <row r="33" spans="1:6" x14ac:dyDescent="0.35">
      <c r="B33" s="7" t="s">
        <v>6203</v>
      </c>
      <c r="C33" s="8">
        <v>234.71999999999997</v>
      </c>
      <c r="D33" s="8">
        <v>133.08000000000001</v>
      </c>
      <c r="E33" s="8">
        <v>267.2</v>
      </c>
      <c r="F33" s="8">
        <v>272.68999999999994</v>
      </c>
    </row>
    <row r="34" spans="1:6" x14ac:dyDescent="0.35">
      <c r="B34" s="7" t="s">
        <v>6204</v>
      </c>
      <c r="C34" s="8">
        <v>430.39</v>
      </c>
      <c r="D34" s="8">
        <v>136.20500000000001</v>
      </c>
      <c r="E34" s="8">
        <v>209.6</v>
      </c>
      <c r="F34" s="8">
        <v>88.334999999999994</v>
      </c>
    </row>
    <row r="35" spans="1:6" x14ac:dyDescent="0.35">
      <c r="B35" s="7" t="s">
        <v>6205</v>
      </c>
      <c r="C35" s="8">
        <v>109.005</v>
      </c>
      <c r="D35" s="8">
        <v>393.57499999999999</v>
      </c>
      <c r="E35" s="8">
        <v>61.034999999999997</v>
      </c>
      <c r="F35" s="8">
        <v>199.48999999999998</v>
      </c>
    </row>
    <row r="36" spans="1:6" x14ac:dyDescent="0.35">
      <c r="B36" s="7" t="s">
        <v>6206</v>
      </c>
      <c r="C36" s="8">
        <v>287.52499999999998</v>
      </c>
      <c r="D36" s="8">
        <v>288.67</v>
      </c>
      <c r="E36" s="8">
        <v>125.58</v>
      </c>
      <c r="F36" s="8">
        <v>374.13499999999999</v>
      </c>
    </row>
    <row r="37" spans="1:6" x14ac:dyDescent="0.35">
      <c r="B37" s="7" t="s">
        <v>6207</v>
      </c>
      <c r="C37" s="8">
        <v>840.92999999999984</v>
      </c>
      <c r="D37" s="8">
        <v>409.875</v>
      </c>
      <c r="E37" s="8">
        <v>171.32999999999998</v>
      </c>
      <c r="F37" s="8">
        <v>221.43999999999997</v>
      </c>
    </row>
    <row r="38" spans="1:6" x14ac:dyDescent="0.35">
      <c r="B38" s="7" t="s">
        <v>6208</v>
      </c>
      <c r="C38" s="8">
        <v>299.07</v>
      </c>
      <c r="D38" s="8">
        <v>260.32499999999999</v>
      </c>
      <c r="E38" s="8">
        <v>584.64</v>
      </c>
      <c r="F38" s="8">
        <v>256.36500000000001</v>
      </c>
    </row>
    <row r="39" spans="1:6" x14ac:dyDescent="0.35">
      <c r="B39" s="7" t="s">
        <v>6209</v>
      </c>
      <c r="C39" s="8">
        <v>323.32499999999999</v>
      </c>
      <c r="D39" s="8">
        <v>565.57000000000005</v>
      </c>
      <c r="E39" s="8">
        <v>537.80999999999995</v>
      </c>
      <c r="F39" s="8">
        <v>189.47499999999999</v>
      </c>
    </row>
    <row r="40" spans="1:6" x14ac:dyDescent="0.35">
      <c r="B40" s="7" t="s">
        <v>6210</v>
      </c>
      <c r="C40" s="8">
        <v>399.48499999999996</v>
      </c>
      <c r="D40" s="8">
        <v>148.19999999999999</v>
      </c>
      <c r="E40" s="8">
        <v>388.21999999999997</v>
      </c>
      <c r="F40" s="8">
        <v>212.07499999999999</v>
      </c>
    </row>
    <row r="41" spans="1:6" x14ac:dyDescent="0.35">
      <c r="A41" t="s">
        <v>6213</v>
      </c>
      <c r="B41" s="7" t="s">
        <v>6199</v>
      </c>
      <c r="C41" s="8">
        <v>112.69499999999999</v>
      </c>
      <c r="D41" s="8">
        <v>166.32</v>
      </c>
      <c r="E41" s="8">
        <v>843.71499999999992</v>
      </c>
      <c r="F41" s="8">
        <v>146.685</v>
      </c>
    </row>
    <row r="42" spans="1:6" x14ac:dyDescent="0.35">
      <c r="B42" s="7" t="s">
        <v>6200</v>
      </c>
      <c r="C42" s="8">
        <v>114.87999999999998</v>
      </c>
      <c r="D42" s="8">
        <v>133.815</v>
      </c>
      <c r="E42" s="8">
        <v>91.175000000000011</v>
      </c>
      <c r="F42" s="8">
        <v>53.759999999999991</v>
      </c>
    </row>
    <row r="43" spans="1:6" x14ac:dyDescent="0.35">
      <c r="B43" s="7" t="s">
        <v>6201</v>
      </c>
      <c r="C43" s="8">
        <v>277.76</v>
      </c>
      <c r="D43" s="8">
        <v>175.41</v>
      </c>
      <c r="E43" s="8">
        <v>462.50999999999993</v>
      </c>
      <c r="F43" s="8">
        <v>399.52499999999998</v>
      </c>
    </row>
    <row r="44" spans="1:6" x14ac:dyDescent="0.35">
      <c r="B44" s="7" t="s">
        <v>6202</v>
      </c>
      <c r="C44" s="8">
        <v>197.89499999999998</v>
      </c>
      <c r="D44" s="8">
        <v>289.755</v>
      </c>
      <c r="E44" s="8">
        <v>88.545000000000002</v>
      </c>
      <c r="F44" s="8">
        <v>200.25499999999997</v>
      </c>
    </row>
    <row r="45" spans="1:6" x14ac:dyDescent="0.35">
      <c r="B45" s="7" t="s">
        <v>6203</v>
      </c>
      <c r="C45" s="8">
        <v>193.11499999999998</v>
      </c>
      <c r="D45" s="8">
        <v>212.49499999999998</v>
      </c>
      <c r="E45" s="8">
        <v>292.29000000000002</v>
      </c>
      <c r="F45" s="8">
        <v>304.46999999999997</v>
      </c>
    </row>
    <row r="46" spans="1:6" x14ac:dyDescent="0.35">
      <c r="B46" s="7" t="s">
        <v>6204</v>
      </c>
      <c r="C46" s="8">
        <v>179.79</v>
      </c>
      <c r="D46" s="8">
        <v>426.2</v>
      </c>
      <c r="E46" s="8">
        <v>170.08999999999997</v>
      </c>
      <c r="F46" s="8">
        <v>379.31</v>
      </c>
    </row>
    <row r="47" spans="1:6" x14ac:dyDescent="0.35">
      <c r="B47" s="7" t="s">
        <v>6205</v>
      </c>
      <c r="C47" s="8">
        <v>247.28999999999996</v>
      </c>
      <c r="D47" s="8">
        <v>246.685</v>
      </c>
      <c r="E47" s="8">
        <v>271.05499999999995</v>
      </c>
      <c r="F47" s="8">
        <v>141.69999999999999</v>
      </c>
    </row>
    <row r="48" spans="1:6" x14ac:dyDescent="0.35">
      <c r="B48" s="7" t="s">
        <v>6206</v>
      </c>
      <c r="C48" s="8">
        <v>116.39499999999998</v>
      </c>
      <c r="D48" s="8">
        <v>41.25</v>
      </c>
      <c r="E48" s="8">
        <v>15.54</v>
      </c>
      <c r="F48" s="8">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544EB-8B2A-4D22-ADA1-79A22EEDE642}">
  <dimension ref="A3:B6"/>
  <sheetViews>
    <sheetView zoomScale="50" zoomScaleNormal="50" workbookViewId="0">
      <selection activeCell="B5" sqref="B5"/>
    </sheetView>
  </sheetViews>
  <sheetFormatPr defaultRowHeight="14.5" x14ac:dyDescent="0.35"/>
  <cols>
    <col min="1" max="1" width="16.81640625" bestFit="1" customWidth="1"/>
    <col min="2" max="2" width="16.6328125" bestFit="1" customWidth="1"/>
    <col min="3" max="3" width="27" bestFit="1" customWidth="1"/>
    <col min="4" max="4" width="10.26953125" bestFit="1" customWidth="1"/>
    <col min="5" max="6" width="10.6328125" bestFit="1" customWidth="1"/>
  </cols>
  <sheetData>
    <row r="3" spans="1:2" x14ac:dyDescent="0.35">
      <c r="A3" s="6" t="s">
        <v>7</v>
      </c>
      <c r="B3" t="s">
        <v>6219</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14EB0-3C58-4FA4-AF69-3ADF20186BA9}">
  <dimension ref="A3:B8"/>
  <sheetViews>
    <sheetView zoomScale="50" zoomScaleNormal="50" workbookViewId="0">
      <selection activeCell="B42" sqref="B42"/>
    </sheetView>
  </sheetViews>
  <sheetFormatPr defaultRowHeight="14.5" x14ac:dyDescent="0.35"/>
  <cols>
    <col min="1" max="1" width="23.90625" bestFit="1" customWidth="1"/>
    <col min="2" max="2" width="16.6328125" bestFit="1" customWidth="1"/>
    <col min="3" max="3" width="27" bestFit="1" customWidth="1"/>
    <col min="4" max="4" width="10.26953125" bestFit="1" customWidth="1"/>
    <col min="5" max="6" width="10.6328125" bestFit="1" customWidth="1"/>
  </cols>
  <sheetData>
    <row r="3" spans="1:2" x14ac:dyDescent="0.35">
      <c r="A3" s="6" t="s">
        <v>4</v>
      </c>
      <c r="B3" t="s">
        <v>6219</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70" zoomScaleNormal="70" workbookViewId="0">
      <selection activeCell="O13" sqref="O13"/>
    </sheetView>
  </sheetViews>
  <sheetFormatPr defaultRowHeight="14.5" x14ac:dyDescent="0.35"/>
  <cols>
    <col min="1" max="1" width="16.54296875" bestFit="1" customWidth="1"/>
    <col min="2" max="2" width="11.81640625" bestFit="1" customWidth="1"/>
    <col min="3" max="3" width="17.453125" bestFit="1" customWidth="1"/>
    <col min="4" max="4" width="11.1796875" customWidth="1"/>
    <col min="5" max="5" width="9.90625" customWidth="1"/>
    <col min="6" max="6" width="22.1796875" bestFit="1" customWidth="1"/>
    <col min="7" max="7" width="36.1796875" bestFit="1" customWidth="1"/>
    <col min="8" max="8" width="14.1796875" bestFit="1" customWidth="1"/>
    <col min="9" max="9" width="12.6328125" customWidth="1"/>
    <col min="10" max="10" width="11.54296875" customWidth="1"/>
    <col min="11" max="11" width="6.08984375" customWidth="1"/>
    <col min="12" max="12" width="10.81640625" customWidth="1"/>
    <col min="13" max="13" width="8.6328125" bestFit="1" customWidth="1"/>
    <col min="14" max="14" width="17.81640625" customWidth="1"/>
    <col min="15" max="15" width="16.7265625"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 = 0, "", 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SUM(L2*E2)</f>
        <v>19.899999999999999</v>
      </c>
      <c r="N2" t="str" cm="1">
        <f t="array" ref="N2">_xlfn.IFS(I2 = "Rob", "Robusta", I2 = "Exc", "Excelsa", I2 = "Ara", "Arabica", I2 = "Lib", "Liberica")</f>
        <v>Robusta</v>
      </c>
      <c r="O2" t="str">
        <f>IF(J2 = "M", "Medium", IF(J2= "L", "Light",IF( J2 = "D", "Dark")))</f>
        <v>Medium</v>
      </c>
      <c r="P2" t="str">
        <f>_xlfn.XLOOKUP(orders[[#This Row],[Customer ID]],customers!$A$1:$A$1001,customers!$I$1:$I$1001)</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 = 0, "", 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SUM(L3*E3)</f>
        <v>41.25</v>
      </c>
      <c r="N3" t="str" cm="1">
        <f t="array" ref="N3">_xlfn.IFS(I3 = "Rob", "Robusta", I3 = "Exc", "Excelsa", I3 = "Ara", "Arabica", I3 = "Lib", "Liberica")</f>
        <v>Excelsa</v>
      </c>
      <c r="O3" t="str">
        <f t="shared" ref="O3:O66" si="1">IF(J3 = "M", "Medium", IF(J3= "L", "Light",IF( J3 = "D", "Dark")))</f>
        <v>Medium</v>
      </c>
      <c r="P3" t="str">
        <f>_xlfn.XLOOKUP(orders[[#This Row],[Customer ID]],customers!$A$1:$A$1001,customers!$I$1:$I$1001)</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 = 0, "", 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cm="1">
        <f t="array" ref="N4">_xlfn.IFS(I4 = "Rob", "Robusta", I4 = "Exc", "Excelsa", I4 = "Ara", "Arabica", I4 = "Lib", "Liberica")</f>
        <v>Arabica</v>
      </c>
      <c r="O4" t="str">
        <f t="shared" si="1"/>
        <v>Light</v>
      </c>
      <c r="P4" t="str">
        <f>_xlfn.XLOOKUP(orders[[#This Row],[Customer ID]],customers!$A$1:$A$1001,customers!$I$1:$I$1001)</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 = 0, "", 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cm="1">
        <f t="array" ref="N5">_xlfn.IFS(I5 = "Rob", "Robusta", I5 = "Exc", "Excelsa", I5 = "Ara", "Arabica", I5 = "Lib", "Liberica")</f>
        <v>Excelsa</v>
      </c>
      <c r="O5" t="str">
        <f t="shared" si="1"/>
        <v>Medium</v>
      </c>
      <c r="P5" t="str">
        <f>_xlfn.XLOOKUP(orders[[#This Row],[Customer ID]],customers!$A$1:$A$1001,customers!$I$1:$I$1001)</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 = 0, "", 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cm="1">
        <f t="array" ref="N6">_xlfn.IFS(I6 = "Rob", "Robusta", I6 = "Exc", "Excelsa", I6 = "Ara", "Arabica", I6 = "Lib", "Liberica")</f>
        <v>Robusta</v>
      </c>
      <c r="O6" t="str">
        <f t="shared" si="1"/>
        <v>Light</v>
      </c>
      <c r="P6" t="str">
        <f>_xlfn.XLOOKUP(orders[[#This Row],[Customer ID]],customers!$A$1:$A$1001,customers!$I$1:$I$1001)</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 = 0, "", 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cm="1">
        <f t="array" ref="N7">_xlfn.IFS(I7 = "Rob", "Robusta", I7 = "Exc", "Excelsa", I7 = "Ara", "Arabica", I7 = "Lib", "Liberica")</f>
        <v>Liberica</v>
      </c>
      <c r="O7" t="str">
        <f t="shared" si="1"/>
        <v>Dark</v>
      </c>
      <c r="P7" t="str">
        <f>_xlfn.XLOOKUP(orders[[#This Row],[Customer ID]],customers!$A$1:$A$1001,customers!$I$1:$I$1001)</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 = 0, "", 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cm="1">
        <f t="array" ref="N8">_xlfn.IFS(I8 = "Rob", "Robusta", I8 = "Exc", "Excelsa", I8 = "Ara", "Arabica", I8 = "Lib", "Liberica")</f>
        <v>Excelsa</v>
      </c>
      <c r="O8" t="str">
        <f t="shared" si="1"/>
        <v>Dark</v>
      </c>
      <c r="P8" t="str">
        <f>_xlfn.XLOOKUP(orders[[#This Row],[Customer ID]],customers!$A$1:$A$1001,customers!$I$1:$I$1001)</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 = 0, "", 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cm="1">
        <f t="array" ref="N9">_xlfn.IFS(I9 = "Rob", "Robusta", I9 = "Exc", "Excelsa", I9 = "Ara", "Arabica", I9 = "Lib", "Liberica")</f>
        <v>Liberica</v>
      </c>
      <c r="O9" t="str">
        <f t="shared" si="1"/>
        <v>Light</v>
      </c>
      <c r="P9" t="str">
        <f>_xlfn.XLOOKUP(orders[[#This Row],[Customer ID]],customers!$A$1:$A$1001,customers!$I$1:$I$1001)</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 = 0, "", 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cm="1">
        <f t="array" ref="N10">_xlfn.IFS(I10 = "Rob", "Robusta", I10 = "Exc", "Excelsa", I10 = "Ara", "Arabica", I10 = "Lib", "Liberica")</f>
        <v>Robusta</v>
      </c>
      <c r="O10" t="str">
        <f t="shared" si="1"/>
        <v>Medium</v>
      </c>
      <c r="P10" t="str">
        <f>_xlfn.XLOOKUP(orders[[#This Row],[Customer ID]],customers!$A$1:$A$1001,customers!$I$1:$I$1001)</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 = 0, "", 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cm="1">
        <f t="array" ref="N11">_xlfn.IFS(I11 = "Rob", "Robusta", I11 = "Exc", "Excelsa", I11 = "Ara", "Arabica", I11 = "Lib", "Liberica")</f>
        <v>Robusta</v>
      </c>
      <c r="O11" t="str">
        <f t="shared" si="1"/>
        <v>Medium</v>
      </c>
      <c r="P11" t="str">
        <f>_xlfn.XLOOKUP(orders[[#This Row],[Customer ID]],customers!$A$1:$A$1001,customers!$I$1:$I$1001)</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 = 0, "", 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cm="1">
        <f t="array" ref="N12">_xlfn.IFS(I12 = "Rob", "Robusta", I12 = "Exc", "Excelsa", I12 = "Ara", "Arabica", I12 = "Lib", "Liberica")</f>
        <v>Arabica</v>
      </c>
      <c r="O12" t="str">
        <f t="shared" si="1"/>
        <v>Dark</v>
      </c>
      <c r="P12" t="str">
        <f>_xlfn.XLOOKUP(orders[[#This Row],[Customer ID]],customers!$A$1:$A$1001,customers!$I$1:$I$1001)</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 = 0, "", 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cm="1">
        <f t="array" ref="N13">_xlfn.IFS(I13 = "Rob", "Robusta", I13 = "Exc", "Excelsa", I13 = "Ara", "Arabica", I13 = "Lib", "Liberica")</f>
        <v>Excelsa</v>
      </c>
      <c r="O13" t="str">
        <f t="shared" si="1"/>
        <v>Light</v>
      </c>
      <c r="P13" t="str">
        <f>_xlfn.XLOOKUP(orders[[#This Row],[Customer ID]],customers!$A$1:$A$1001,customers!$I$1:$I$1001)</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 = 0, "", 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cm="1">
        <f t="array" ref="N14">_xlfn.IFS(I14 = "Rob", "Robusta", I14 = "Exc", "Excelsa", I14 = "Ara", "Arabica", I14 = "Lib", "Liberica")</f>
        <v>Robusta</v>
      </c>
      <c r="O14" t="str">
        <f t="shared" si="1"/>
        <v>Medium</v>
      </c>
      <c r="P14" t="str">
        <f>_xlfn.XLOOKUP(orders[[#This Row],[Customer ID]],customers!$A$1:$A$1001,customers!$I$1:$I$1001)</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 = 0, "", 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cm="1">
        <f t="array" ref="N15">_xlfn.IFS(I15 = "Rob", "Robusta", I15 = "Exc", "Excelsa", I15 = "Ara", "Arabica", I15 = "Lib", "Liberica")</f>
        <v>Robusta</v>
      </c>
      <c r="O15" t="str">
        <f t="shared" si="1"/>
        <v>Dark</v>
      </c>
      <c r="P15" t="str">
        <f>_xlfn.XLOOKUP(orders[[#This Row],[Customer ID]],customers!$A$1:$A$1001,customers!$I$1:$I$1001)</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 = 0, "", 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cm="1">
        <f t="array" ref="N16">_xlfn.IFS(I16 = "Rob", "Robusta", I16 = "Exc", "Excelsa", I16 = "Ara", "Arabica", I16 = "Lib", "Liberica")</f>
        <v>Liberica</v>
      </c>
      <c r="O16" t="str">
        <f t="shared" si="1"/>
        <v>Dark</v>
      </c>
      <c r="P16" t="str">
        <f>_xlfn.XLOOKUP(orders[[#This Row],[Customer ID]],customers!$A$1:$A$1001,customers!$I$1:$I$1001)</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 = 0, "", 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cm="1">
        <f t="array" ref="N17">_xlfn.IFS(I17 = "Rob", "Robusta", I17 = "Exc", "Excelsa", I17 = "Ara", "Arabica", I17 = "Lib", "Liberica")</f>
        <v>Robusta</v>
      </c>
      <c r="O17" t="str">
        <f t="shared" si="1"/>
        <v>Medium</v>
      </c>
      <c r="P17" t="str">
        <f>_xlfn.XLOOKUP(orders[[#This Row],[Customer ID]],customers!$A$1:$A$1001,customers!$I$1:$I$1001)</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 = 0, "", 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cm="1">
        <f t="array" ref="N18">_xlfn.IFS(I18 = "Rob", "Robusta", I18 = "Exc", "Excelsa", I18 = "Ara", "Arabica", I18 = "Lib", "Liberica")</f>
        <v>Arabica</v>
      </c>
      <c r="O18" t="str">
        <f t="shared" si="1"/>
        <v>Medium</v>
      </c>
      <c r="P18" t="str">
        <f>_xlfn.XLOOKUP(orders[[#This Row],[Customer ID]],customers!$A$1:$A$1001,customers!$I$1:$I$1001)</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 = 0, "", 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cm="1">
        <f t="array" ref="N19">_xlfn.IFS(I19 = "Rob", "Robusta", I19 = "Exc", "Excelsa", I19 = "Ara", "Arabica", I19 = "Lib", "Liberica")</f>
        <v>Arabica</v>
      </c>
      <c r="O19" t="str">
        <f t="shared" si="1"/>
        <v>Light</v>
      </c>
      <c r="P19" t="str">
        <f>_xlfn.XLOOKUP(orders[[#This Row],[Customer ID]],customers!$A$1:$A$1001,customers!$I$1:$I$1001)</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 = 0, "", 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cm="1">
        <f t="array" ref="N20">_xlfn.IFS(I20 = "Rob", "Robusta", I20 = "Exc", "Excelsa", I20 = "Ara", "Arabica", I20 = "Lib", "Liberica")</f>
        <v>Robusta</v>
      </c>
      <c r="O20" t="str">
        <f t="shared" si="1"/>
        <v>Dark</v>
      </c>
      <c r="P20" t="str">
        <f>_xlfn.XLOOKUP(orders[[#This Row],[Customer ID]],customers!$A$1:$A$1001,customers!$I$1:$I$1001)</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 = 0, "", 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cm="1">
        <f t="array" ref="N21">_xlfn.IFS(I21 = "Rob", "Robusta", I21 = "Exc", "Excelsa", I21 = "Ara", "Arabica", I21 = "Lib", "Liberica")</f>
        <v>Arabica</v>
      </c>
      <c r="O21" t="str">
        <f t="shared" si="1"/>
        <v>Medium</v>
      </c>
      <c r="P21" t="str">
        <f>_xlfn.XLOOKUP(orders[[#This Row],[Customer ID]],customers!$A$1:$A$1001,customers!$I$1:$I$1001)</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 = 0, "", 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cm="1">
        <f t="array" ref="N22">_xlfn.IFS(I22 = "Rob", "Robusta", I22 = "Exc", "Excelsa", I22 = "Ara", "Arabica", I22 = "Lib", "Liberica")</f>
        <v>Excelsa</v>
      </c>
      <c r="O22" t="str">
        <f t="shared" si="1"/>
        <v>Dark</v>
      </c>
      <c r="P22" t="str">
        <f>_xlfn.XLOOKUP(orders[[#This Row],[Customer ID]],customers!$A$1:$A$1001,customers!$I$1:$I$1001)</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 = 0, "", 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cm="1">
        <f t="array" ref="N23">_xlfn.IFS(I23 = "Rob", "Robusta", I23 = "Exc", "Excelsa", I23 = "Ara", "Arabica", I23 = "Lib", "Liberica")</f>
        <v>Arabica</v>
      </c>
      <c r="O23" t="str">
        <f t="shared" si="1"/>
        <v>Dark</v>
      </c>
      <c r="P23" t="str">
        <f>_xlfn.XLOOKUP(orders[[#This Row],[Customer ID]],customers!$A$1:$A$1001,customers!$I$1:$I$1001)</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 = 0, "", 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cm="1">
        <f t="array" ref="N24">_xlfn.IFS(I24 = "Rob", "Robusta", I24 = "Exc", "Excelsa", I24 = "Ara", "Arabica", I24 = "Lib", "Liberica")</f>
        <v>Robusta</v>
      </c>
      <c r="O24" t="str">
        <f t="shared" si="1"/>
        <v>Medium</v>
      </c>
      <c r="P24" t="str">
        <f>_xlfn.XLOOKUP(orders[[#This Row],[Customer ID]],customers!$A$1:$A$1001,customers!$I$1:$I$1001)</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 = 0, "", 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cm="1">
        <f t="array" ref="N25">_xlfn.IFS(I25 = "Rob", "Robusta", I25 = "Exc", "Excelsa", I25 = "Ara", "Arabica", I25 = "Lib", "Liberica")</f>
        <v>Arabica</v>
      </c>
      <c r="O25" t="str">
        <f t="shared" si="1"/>
        <v>Dark</v>
      </c>
      <c r="P25" t="str">
        <f>_xlfn.XLOOKUP(orders[[#This Row],[Customer ID]],customers!$A$1:$A$1001,customers!$I$1:$I$1001)</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 = 0, "", 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cm="1">
        <f t="array" ref="N26">_xlfn.IFS(I26 = "Rob", "Robusta", I26 = "Exc", "Excelsa", I26 = "Ara", "Arabica", I26 = "Lib", "Liberica")</f>
        <v>Arabica</v>
      </c>
      <c r="O26" t="str">
        <f t="shared" si="1"/>
        <v>Medium</v>
      </c>
      <c r="P26" t="str">
        <f>_xlfn.XLOOKUP(orders[[#This Row],[Customer ID]],customers!$A$1:$A$1001,customers!$I$1:$I$1001)</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 = 0, "", 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cm="1">
        <f t="array" ref="N27">_xlfn.IFS(I27 = "Rob", "Robusta", I27 = "Exc", "Excelsa", I27 = "Ara", "Arabica", I27 = "Lib", "Liberica")</f>
        <v>Excelsa</v>
      </c>
      <c r="O27" t="str">
        <f t="shared" si="1"/>
        <v>Medium</v>
      </c>
      <c r="P27" t="str">
        <f>_xlfn.XLOOKUP(orders[[#This Row],[Customer ID]],customers!$A$1:$A$1001,customers!$I$1:$I$1001)</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 = 0, "", 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cm="1">
        <f t="array" ref="N28">_xlfn.IFS(I28 = "Rob", "Robusta", I28 = "Exc", "Excelsa", I28 = "Ara", "Arabica", I28 = "Lib", "Liberica")</f>
        <v>Arabica</v>
      </c>
      <c r="O28" t="str">
        <f t="shared" si="1"/>
        <v>Medium</v>
      </c>
      <c r="P28" t="str">
        <f>_xlfn.XLOOKUP(orders[[#This Row],[Customer ID]],customers!$A$1:$A$1001,customers!$I$1:$I$1001)</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 = 0, "", 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cm="1">
        <f t="array" ref="N29">_xlfn.IFS(I29 = "Rob", "Robusta", I29 = "Exc", "Excelsa", I29 = "Ara", "Arabica", I29 = "Lib", "Liberica")</f>
        <v>Arabica</v>
      </c>
      <c r="O29" t="str">
        <f t="shared" si="1"/>
        <v>Medium</v>
      </c>
      <c r="P29" t="str">
        <f>_xlfn.XLOOKUP(orders[[#This Row],[Customer ID]],customers!$A$1:$A$1001,customers!$I$1:$I$1001)</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 = 0, "", 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cm="1">
        <f t="array" ref="N30">_xlfn.IFS(I30 = "Rob", "Robusta", I30 = "Exc", "Excelsa", I30 = "Ara", "Arabica", I30 = "Lib", "Liberica")</f>
        <v>Arabica</v>
      </c>
      <c r="O30" t="str">
        <f t="shared" si="1"/>
        <v>Dark</v>
      </c>
      <c r="P30" t="str">
        <f>_xlfn.XLOOKUP(orders[[#This Row],[Customer ID]],customers!$A$1:$A$1001,customers!$I$1:$I$1001)</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 = 0, "", 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cm="1">
        <f t="array" ref="N31">_xlfn.IFS(I31 = "Rob", "Robusta", I31 = "Exc", "Excelsa", I31 = "Ara", "Arabica", I31 = "Lib", "Liberica")</f>
        <v>Arabica</v>
      </c>
      <c r="O31" t="str">
        <f t="shared" si="1"/>
        <v>Dark</v>
      </c>
      <c r="P31" t="str">
        <f>_xlfn.XLOOKUP(orders[[#This Row],[Customer ID]],customers!$A$1:$A$1001,customers!$I$1:$I$1001)</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 = 0, "", 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cm="1">
        <f t="array" ref="N32">_xlfn.IFS(I32 = "Rob", "Robusta", I32 = "Exc", "Excelsa", I32 = "Ara", "Arabica", I32 = "Lib", "Liberica")</f>
        <v>Liberica</v>
      </c>
      <c r="O32" t="str">
        <f t="shared" si="1"/>
        <v>Medium</v>
      </c>
      <c r="P32" t="str">
        <f>_xlfn.XLOOKUP(orders[[#This Row],[Customer ID]],customers!$A$1:$A$1001,customers!$I$1:$I$1001)</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 = 0, "", 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cm="1">
        <f t="array" ref="N33">_xlfn.IFS(I33 = "Rob", "Robusta", I33 = "Exc", "Excelsa", I33 = "Ara", "Arabica", I33 = "Lib", "Liberica")</f>
        <v>Arabica</v>
      </c>
      <c r="O33" t="str">
        <f t="shared" si="1"/>
        <v>Dark</v>
      </c>
      <c r="P33" t="str">
        <f>_xlfn.XLOOKUP(orders[[#This Row],[Customer ID]],customers!$A$1:$A$1001,customers!$I$1:$I$1001)</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 = 0, "", 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cm="1">
        <f t="array" ref="N34">_xlfn.IFS(I34 = "Rob", "Robusta", I34 = "Exc", "Excelsa", I34 = "Ara", "Arabica", I34 = "Lib", "Liberica")</f>
        <v>Liberica</v>
      </c>
      <c r="O34" t="str">
        <f t="shared" si="1"/>
        <v>Medium</v>
      </c>
      <c r="P34" t="str">
        <f>_xlfn.XLOOKUP(orders[[#This Row],[Customer ID]],customers!$A$1:$A$1001,customers!$I$1:$I$1001)</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 = 0, "", 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cm="1">
        <f t="array" ref="N35">_xlfn.IFS(I35 = "Rob", "Robusta", I35 = "Exc", "Excelsa", I35 = "Ara", "Arabica", I35 = "Lib", "Liberica")</f>
        <v>Liberica</v>
      </c>
      <c r="O35" t="str">
        <f t="shared" si="1"/>
        <v>Light</v>
      </c>
      <c r="P35" t="str">
        <f>_xlfn.XLOOKUP(orders[[#This Row],[Customer ID]],customers!$A$1:$A$1001,customers!$I$1:$I$1001)</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 = 0, "", 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cm="1">
        <f t="array" ref="N36">_xlfn.IFS(I36 = "Rob", "Robusta", I36 = "Exc", "Excelsa", I36 = "Ara", "Arabica", I36 = "Lib", "Liberica")</f>
        <v>Liberica</v>
      </c>
      <c r="O36" t="str">
        <f t="shared" si="1"/>
        <v>Light</v>
      </c>
      <c r="P36" t="str">
        <f>_xlfn.XLOOKUP(orders[[#This Row],[Customer ID]],customers!$A$1:$A$1001,customers!$I$1:$I$1001)</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 = 0, "", 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cm="1">
        <f t="array" ref="N37">_xlfn.IFS(I37 = "Rob", "Robusta", I37 = "Exc", "Excelsa", I37 = "Ara", "Arabica", I37 = "Lib", "Liberica")</f>
        <v>Arabica</v>
      </c>
      <c r="O37" t="str">
        <f t="shared" si="1"/>
        <v>Dark</v>
      </c>
      <c r="P37" t="str">
        <f>_xlfn.XLOOKUP(orders[[#This Row],[Customer ID]],customers!$A$1:$A$1001,customers!$I$1:$I$1001)</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 = 0, "", 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cm="1">
        <f t="array" ref="N38">_xlfn.IFS(I38 = "Rob", "Robusta", I38 = "Exc", "Excelsa", I38 = "Ara", "Arabica", I38 = "Lib", "Liberica")</f>
        <v>Liberica</v>
      </c>
      <c r="O38" t="str">
        <f t="shared" si="1"/>
        <v>Medium</v>
      </c>
      <c r="P38" t="str">
        <f>_xlfn.XLOOKUP(orders[[#This Row],[Customer ID]],customers!$A$1:$A$1001,customers!$I$1:$I$1001)</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 = 0, "", 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cm="1">
        <f t="array" ref="N39">_xlfn.IFS(I39 = "Rob", "Robusta", I39 = "Exc", "Excelsa", I39 = "Ara", "Arabica", I39 = "Lib", "Liberica")</f>
        <v>Liberica</v>
      </c>
      <c r="O39" t="str">
        <f t="shared" si="1"/>
        <v>Light</v>
      </c>
      <c r="P39" t="str">
        <f>_xlfn.XLOOKUP(orders[[#This Row],[Customer ID]],customers!$A$1:$A$1001,customers!$I$1:$I$1001)</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 = 0, "", 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cm="1">
        <f t="array" ref="N40">_xlfn.IFS(I40 = "Rob", "Robusta", I40 = "Exc", "Excelsa", I40 = "Ara", "Arabica", I40 = "Lib", "Liberica")</f>
        <v>Robusta</v>
      </c>
      <c r="O40" t="str">
        <f t="shared" si="1"/>
        <v>Medium</v>
      </c>
      <c r="P40" t="str">
        <f>_xlfn.XLOOKUP(orders[[#This Row],[Customer ID]],customers!$A$1:$A$1001,customers!$I$1:$I$1001)</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 = 0, "", 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cm="1">
        <f t="array" ref="N41">_xlfn.IFS(I41 = "Rob", "Robusta", I41 = "Exc", "Excelsa", I41 = "Ara", "Arabica", I41 = "Lib", "Liberica")</f>
        <v>Robusta</v>
      </c>
      <c r="O41" t="str">
        <f t="shared" si="1"/>
        <v>Medium</v>
      </c>
      <c r="P41" t="str">
        <f>_xlfn.XLOOKUP(orders[[#This Row],[Customer ID]],customers!$A$1:$A$1001,customers!$I$1:$I$1001)</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 = 0, "", 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cm="1">
        <f t="array" ref="N42">_xlfn.IFS(I42 = "Rob", "Robusta", I42 = "Exc", "Excelsa", I42 = "Ara", "Arabica", I42 = "Lib", "Liberica")</f>
        <v>Liberica</v>
      </c>
      <c r="O42" t="str">
        <f t="shared" si="1"/>
        <v>Medium</v>
      </c>
      <c r="P42" t="str">
        <f>_xlfn.XLOOKUP(orders[[#This Row],[Customer ID]],customers!$A$1:$A$1001,customers!$I$1:$I$1001)</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 = 0, "", 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cm="1">
        <f t="array" ref="N43">_xlfn.IFS(I43 = "Rob", "Robusta", I43 = "Exc", "Excelsa", I43 = "Ara", "Arabica", I43 = "Lib", "Liberica")</f>
        <v>Excelsa</v>
      </c>
      <c r="O43" t="str">
        <f t="shared" si="1"/>
        <v>Dark</v>
      </c>
      <c r="P43" t="str">
        <f>_xlfn.XLOOKUP(orders[[#This Row],[Customer ID]],customers!$A$1:$A$1001,customers!$I$1:$I$1001)</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 = 0, "", 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cm="1">
        <f t="array" ref="N44">_xlfn.IFS(I44 = "Rob", "Robusta", I44 = "Exc", "Excelsa", I44 = "Ara", "Arabica", I44 = "Lib", "Liberica")</f>
        <v>Robusta</v>
      </c>
      <c r="O44" t="str">
        <f t="shared" si="1"/>
        <v>Dark</v>
      </c>
      <c r="P44" t="str">
        <f>_xlfn.XLOOKUP(orders[[#This Row],[Customer ID]],customers!$A$1:$A$1001,customers!$I$1:$I$1001)</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 = 0, "", 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cm="1">
        <f t="array" ref="N45">_xlfn.IFS(I45 = "Rob", "Robusta", I45 = "Exc", "Excelsa", I45 = "Ara", "Arabica", I45 = "Lib", "Liberica")</f>
        <v>Liberica</v>
      </c>
      <c r="O45" t="str">
        <f t="shared" si="1"/>
        <v>Light</v>
      </c>
      <c r="P45" t="str">
        <f>_xlfn.XLOOKUP(orders[[#This Row],[Customer ID]],customers!$A$1:$A$1001,customers!$I$1:$I$1001)</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 = 0, "", 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cm="1">
        <f t="array" ref="N46">_xlfn.IFS(I46 = "Rob", "Robusta", I46 = "Exc", "Excelsa", I46 = "Ara", "Arabica", I46 = "Lib", "Liberica")</f>
        <v>Excelsa</v>
      </c>
      <c r="O46" t="str">
        <f t="shared" si="1"/>
        <v>Medium</v>
      </c>
      <c r="P46" t="str">
        <f>_xlfn.XLOOKUP(orders[[#This Row],[Customer ID]],customers!$A$1:$A$1001,customers!$I$1:$I$1001)</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 = 0, "", 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cm="1">
        <f t="array" ref="N47">_xlfn.IFS(I47 = "Rob", "Robusta", I47 = "Exc", "Excelsa", I47 = "Ara", "Arabica", I47 = "Lib", "Liberica")</f>
        <v>Liberica</v>
      </c>
      <c r="O47" t="str">
        <f t="shared" si="1"/>
        <v>Dark</v>
      </c>
      <c r="P47" t="str">
        <f>_xlfn.XLOOKUP(orders[[#This Row],[Customer ID]],customers!$A$1:$A$1001,customers!$I$1:$I$1001)</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 = 0, "", 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cm="1">
        <f t="array" ref="N48">_xlfn.IFS(I48 = "Rob", "Robusta", I48 = "Exc", "Excelsa", I48 = "Ara", "Arabica", I48 = "Lib", "Liberica")</f>
        <v>Excelsa</v>
      </c>
      <c r="O48" t="str">
        <f t="shared" si="1"/>
        <v>Medium</v>
      </c>
      <c r="P48" t="str">
        <f>_xlfn.XLOOKUP(orders[[#This Row],[Customer ID]],customers!$A$1:$A$1001,customers!$I$1:$I$1001)</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 = 0, "", 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cm="1">
        <f t="array" ref="N49">_xlfn.IFS(I49 = "Rob", "Robusta", I49 = "Exc", "Excelsa", I49 = "Ara", "Arabica", I49 = "Lib", "Liberica")</f>
        <v>Arabica</v>
      </c>
      <c r="O49" t="str">
        <f t="shared" si="1"/>
        <v>Light</v>
      </c>
      <c r="P49" t="str">
        <f>_xlfn.XLOOKUP(orders[[#This Row],[Customer ID]],customers!$A$1:$A$1001,customers!$I$1:$I$1001)</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 = 0, "", 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cm="1">
        <f t="array" ref="N50">_xlfn.IFS(I50 = "Rob", "Robusta", I50 = "Exc", "Excelsa", I50 = "Ara", "Arabica", I50 = "Lib", "Liberica")</f>
        <v>Arabica</v>
      </c>
      <c r="O50" t="str">
        <f t="shared" si="1"/>
        <v>Dark</v>
      </c>
      <c r="P50" t="str">
        <f>_xlfn.XLOOKUP(orders[[#This Row],[Customer ID]],customers!$A$1:$A$1001,customers!$I$1:$I$1001)</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 = 0, "", 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cm="1">
        <f t="array" ref="N51">_xlfn.IFS(I51 = "Rob", "Robusta", I51 = "Exc", "Excelsa", I51 = "Ara", "Arabica", I51 = "Lib", "Liberica")</f>
        <v>Arabica</v>
      </c>
      <c r="O51" t="str">
        <f t="shared" si="1"/>
        <v>Light</v>
      </c>
      <c r="P51" t="str">
        <f>_xlfn.XLOOKUP(orders[[#This Row],[Customer ID]],customers!$A$1:$A$1001,customers!$I$1:$I$1001)</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 = 0, "", 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cm="1">
        <f t="array" ref="N52">_xlfn.IFS(I52 = "Rob", "Robusta", I52 = "Exc", "Excelsa", I52 = "Ara", "Arabica", I52 = "Lib", "Liberica")</f>
        <v>Liberica</v>
      </c>
      <c r="O52" t="str">
        <f t="shared" si="1"/>
        <v>Dark</v>
      </c>
      <c r="P52" t="str">
        <f>_xlfn.XLOOKUP(orders[[#This Row],[Customer ID]],customers!$A$1:$A$1001,customers!$I$1:$I$1001)</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 = 0, "", 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cm="1">
        <f t="array" ref="N53">_xlfn.IFS(I53 = "Rob", "Robusta", I53 = "Exc", "Excelsa", I53 = "Ara", "Arabica", I53 = "Lib", "Liberica")</f>
        <v>Liberica</v>
      </c>
      <c r="O53" t="str">
        <f t="shared" si="1"/>
        <v>Light</v>
      </c>
      <c r="P53" t="str">
        <f>_xlfn.XLOOKUP(orders[[#This Row],[Customer ID]],customers!$A$1:$A$1001,customers!$I$1:$I$1001)</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 = 0, "", 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cm="1">
        <f t="array" ref="N54">_xlfn.IFS(I54 = "Rob", "Robusta", I54 = "Exc", "Excelsa", I54 = "Ara", "Arabica", I54 = "Lib", "Liberica")</f>
        <v>Robusta</v>
      </c>
      <c r="O54" t="str">
        <f t="shared" si="1"/>
        <v>Medium</v>
      </c>
      <c r="P54" t="str">
        <f>_xlfn.XLOOKUP(orders[[#This Row],[Customer ID]],customers!$A$1:$A$1001,customers!$I$1:$I$1001)</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 = 0, "", 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cm="1">
        <f t="array" ref="N55">_xlfn.IFS(I55 = "Rob", "Robusta", I55 = "Exc", "Excelsa", I55 = "Ara", "Arabica", I55 = "Lib", "Liberica")</f>
        <v>Liberica</v>
      </c>
      <c r="O55" t="str">
        <f t="shared" si="1"/>
        <v>Light</v>
      </c>
      <c r="P55" t="str">
        <f>_xlfn.XLOOKUP(orders[[#This Row],[Customer ID]],customers!$A$1:$A$1001,customers!$I$1:$I$1001)</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 = 0, "", 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cm="1">
        <f t="array" ref="N56">_xlfn.IFS(I56 = "Rob", "Robusta", I56 = "Exc", "Excelsa", I56 = "Ara", "Arabica", I56 = "Lib", "Liberica")</f>
        <v>Liberica</v>
      </c>
      <c r="O56" t="str">
        <f t="shared" si="1"/>
        <v>Medium</v>
      </c>
      <c r="P56" t="str">
        <f>_xlfn.XLOOKUP(orders[[#This Row],[Customer ID]],customers!$A$1:$A$1001,customers!$I$1:$I$1001)</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 = 0, "", 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cm="1">
        <f t="array" ref="N57">_xlfn.IFS(I57 = "Rob", "Robusta", I57 = "Exc", "Excelsa", I57 = "Ara", "Arabica", I57 = "Lib", "Liberica")</f>
        <v>Liberica</v>
      </c>
      <c r="O57" t="str">
        <f t="shared" si="1"/>
        <v>Light</v>
      </c>
      <c r="P57" t="str">
        <f>_xlfn.XLOOKUP(orders[[#This Row],[Customer ID]],customers!$A$1:$A$1001,customers!$I$1:$I$1001)</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 = 0, "", 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cm="1">
        <f t="array" ref="N58">_xlfn.IFS(I58 = "Rob", "Robusta", I58 = "Exc", "Excelsa", I58 = "Ara", "Arabica", I58 = "Lib", "Liberica")</f>
        <v>Excelsa</v>
      </c>
      <c r="O58" t="str">
        <f t="shared" si="1"/>
        <v>Dark</v>
      </c>
      <c r="P58" t="str">
        <f>_xlfn.XLOOKUP(orders[[#This Row],[Customer ID]],customers!$A$1:$A$1001,customers!$I$1:$I$1001)</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 = 0, "", 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cm="1">
        <f t="array" ref="N59">_xlfn.IFS(I59 = "Rob", "Robusta", I59 = "Exc", "Excelsa", I59 = "Ara", "Arabica", I59 = "Lib", "Liberica")</f>
        <v>Excelsa</v>
      </c>
      <c r="O59" t="str">
        <f t="shared" si="1"/>
        <v>Light</v>
      </c>
      <c r="P59" t="str">
        <f>_xlfn.XLOOKUP(orders[[#This Row],[Customer ID]],customers!$A$1:$A$1001,customers!$I$1:$I$1001)</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 = 0, "", 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cm="1">
        <f t="array" ref="N60">_xlfn.IFS(I60 = "Rob", "Robusta", I60 = "Exc", "Excelsa", I60 = "Ara", "Arabica", I60 = "Lib", "Liberica")</f>
        <v>Liberica</v>
      </c>
      <c r="O60" t="str">
        <f t="shared" si="1"/>
        <v>Dark</v>
      </c>
      <c r="P60" t="str">
        <f>_xlfn.XLOOKUP(orders[[#This Row],[Customer ID]],customers!$A$1:$A$1001,customers!$I$1:$I$1001)</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 = 0, "", 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cm="1">
        <f t="array" ref="N61">_xlfn.IFS(I61 = "Rob", "Robusta", I61 = "Exc", "Excelsa", I61 = "Ara", "Arabica", I61 = "Lib", "Liberica")</f>
        <v>Liberica</v>
      </c>
      <c r="O61" t="str">
        <f t="shared" si="1"/>
        <v>Medium</v>
      </c>
      <c r="P61" t="str">
        <f>_xlfn.XLOOKUP(orders[[#This Row],[Customer ID]],customers!$A$1:$A$1001,customers!$I$1:$I$1001)</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 = 0, "", 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cm="1">
        <f t="array" ref="N62">_xlfn.IFS(I62 = "Rob", "Robusta", I62 = "Exc", "Excelsa", I62 = "Ara", "Arabica", I62 = "Lib", "Liberica")</f>
        <v>Arabica</v>
      </c>
      <c r="O62" t="str">
        <f t="shared" si="1"/>
        <v>Dark</v>
      </c>
      <c r="P62" t="str">
        <f>_xlfn.XLOOKUP(orders[[#This Row],[Customer ID]],customers!$A$1:$A$1001,customers!$I$1:$I$1001)</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 = 0, "", 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cm="1">
        <f t="array" ref="N63">_xlfn.IFS(I63 = "Rob", "Robusta", I63 = "Exc", "Excelsa", I63 = "Ara", "Arabica", I63 = "Lib", "Liberica")</f>
        <v>Robusta</v>
      </c>
      <c r="O63" t="str">
        <f t="shared" si="1"/>
        <v>Dark</v>
      </c>
      <c r="P63" t="str">
        <f>_xlfn.XLOOKUP(orders[[#This Row],[Customer ID]],customers!$A$1:$A$1001,customers!$I$1:$I$1001)</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 = 0, "", 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cm="1">
        <f t="array" ref="N64">_xlfn.IFS(I64 = "Rob", "Robusta", I64 = "Exc", "Excelsa", I64 = "Ara", "Arabica", I64 = "Lib", "Liberica")</f>
        <v>Liberica</v>
      </c>
      <c r="O64" t="str">
        <f t="shared" si="1"/>
        <v>Light</v>
      </c>
      <c r="P64" t="str">
        <f>_xlfn.XLOOKUP(orders[[#This Row],[Customer ID]],customers!$A$1:$A$1001,customers!$I$1:$I$1001)</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 = 0, "", 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cm="1">
        <f t="array" ref="N65">_xlfn.IFS(I65 = "Rob", "Robusta", I65 = "Exc", "Excelsa", I65 = "Ara", "Arabica", I65 = "Lib", "Liberica")</f>
        <v>Arabica</v>
      </c>
      <c r="O65" t="str">
        <f t="shared" si="1"/>
        <v>Medium</v>
      </c>
      <c r="P65" t="str">
        <f>_xlfn.XLOOKUP(orders[[#This Row],[Customer ID]],customers!$A$1:$A$1001,customers!$I$1:$I$1001)</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 = 0, "", 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cm="1">
        <f t="array" ref="N66">_xlfn.IFS(I66 = "Rob", "Robusta", I66 = "Exc", "Excelsa", I66 = "Ara", "Arabica", I66 = "Lib", "Liberica")</f>
        <v>Robusta</v>
      </c>
      <c r="O66" t="str">
        <f t="shared" si="1"/>
        <v>Medium</v>
      </c>
      <c r="P66" t="str">
        <f>_xlfn.XLOOKUP(orders[[#This Row],[Customer ID]],customers!$A$1:$A$1001,customers!$I$1:$I$1001)</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 = 0, "", 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2">SUM(L67*E67)</f>
        <v>82.339999999999989</v>
      </c>
      <c r="N67" t="str" cm="1">
        <f t="array" ref="N67">_xlfn.IFS(I67 = "Rob", "Robusta", I67 = "Exc", "Excelsa", I67 = "Ara", "Arabica", I67 = "Lib", "Liberica")</f>
        <v>Robusta</v>
      </c>
      <c r="O67" t="str">
        <f t="shared" ref="O67:O130" si="3">IF(J67 = "M", "Medium", IF(J67= "L", "Light",IF( J67 = "D", "Dark")))</f>
        <v>Dark</v>
      </c>
      <c r="P67" t="str">
        <f>_xlfn.XLOOKUP(orders[[#This Row],[Customer ID]],customers!$A$1:$A$1001,customers!$I$1:$I$1001)</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 = 0, "", 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2"/>
        <v>7.169999999999999</v>
      </c>
      <c r="N68" t="str" cm="1">
        <f t="array" ref="N68">_xlfn.IFS(I68 = "Rob", "Robusta", I68 = "Exc", "Excelsa", I68 = "Ara", "Arabica", I68 = "Lib", "Liberica")</f>
        <v>Robusta</v>
      </c>
      <c r="O68" t="str">
        <f t="shared" si="3"/>
        <v>Light</v>
      </c>
      <c r="P68" t="str">
        <f>_xlfn.XLOOKUP(orders[[#This Row],[Customer ID]],customers!$A$1:$A$1001,customers!$I$1:$I$1001)</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 = 0, "", 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2"/>
        <v>9.51</v>
      </c>
      <c r="N69" t="str" cm="1">
        <f t="array" ref="N69">_xlfn.IFS(I69 = "Rob", "Robusta", I69 = "Exc", "Excelsa", I69 = "Ara", "Arabica", I69 = "Lib", "Liberica")</f>
        <v>Liberica</v>
      </c>
      <c r="O69" t="str">
        <f t="shared" si="3"/>
        <v>Light</v>
      </c>
      <c r="P69" t="str">
        <f>_xlfn.XLOOKUP(orders[[#This Row],[Customer ID]],customers!$A$1:$A$1001,customers!$I$1:$I$1001)</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 = 0, "", 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2"/>
        <v>2.9849999999999999</v>
      </c>
      <c r="N70" t="str" cm="1">
        <f t="array" ref="N70">_xlfn.IFS(I70 = "Rob", "Robusta", I70 = "Exc", "Excelsa", I70 = "Ara", "Arabica", I70 = "Lib", "Liberica")</f>
        <v>Robusta</v>
      </c>
      <c r="O70" t="str">
        <f t="shared" si="3"/>
        <v>Medium</v>
      </c>
      <c r="P70" t="str">
        <f>_xlfn.XLOOKUP(orders[[#This Row],[Customer ID]],customers!$A$1:$A$1001,customers!$I$1:$I$1001)</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 = 0, "", 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2"/>
        <v>59.699999999999996</v>
      </c>
      <c r="N71" t="str" cm="1">
        <f t="array" ref="N71">_xlfn.IFS(I71 = "Rob", "Robusta", I71 = "Exc", "Excelsa", I71 = "Ara", "Arabica", I71 = "Lib", "Liberica")</f>
        <v>Robusta</v>
      </c>
      <c r="O71" t="str">
        <f t="shared" si="3"/>
        <v>Medium</v>
      </c>
      <c r="P71" t="str">
        <f>_xlfn.XLOOKUP(orders[[#This Row],[Customer ID]],customers!$A$1:$A$1001,customers!$I$1:$I$1001)</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 = 0, "", 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2"/>
        <v>136.61999999999998</v>
      </c>
      <c r="N72" t="str" cm="1">
        <f t="array" ref="N72">_xlfn.IFS(I72 = "Rob", "Robusta", I72 = "Exc", "Excelsa", I72 = "Ara", "Arabica", I72 = "Lib", "Liberica")</f>
        <v>Excelsa</v>
      </c>
      <c r="O72" t="str">
        <f t="shared" si="3"/>
        <v>Light</v>
      </c>
      <c r="P72" t="str">
        <f>_xlfn.XLOOKUP(orders[[#This Row],[Customer ID]],customers!$A$1:$A$1001,customers!$I$1:$I$1001)</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 = 0, "", 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2"/>
        <v>9.51</v>
      </c>
      <c r="N73" t="str" cm="1">
        <f t="array" ref="N73">_xlfn.IFS(I73 = "Rob", "Robusta", I73 = "Exc", "Excelsa", I73 = "Ara", "Arabica", I73 = "Lib", "Liberica")</f>
        <v>Liberica</v>
      </c>
      <c r="O73" t="str">
        <f t="shared" si="3"/>
        <v>Light</v>
      </c>
      <c r="P73" t="str">
        <f>_xlfn.XLOOKUP(orders[[#This Row],[Customer ID]],customers!$A$1:$A$1001,customers!$I$1:$I$1001)</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 = 0, "", 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2"/>
        <v>77.624999999999986</v>
      </c>
      <c r="N74" t="str" cm="1">
        <f t="array" ref="N74">_xlfn.IFS(I74 = "Rob", "Robusta", I74 = "Exc", "Excelsa", I74 = "Ara", "Arabica", I74 = "Lib", "Liberica")</f>
        <v>Arabica</v>
      </c>
      <c r="O74" t="str">
        <f t="shared" si="3"/>
        <v>Medium</v>
      </c>
      <c r="P74" t="str">
        <f>_xlfn.XLOOKUP(orders[[#This Row],[Customer ID]],customers!$A$1:$A$1001,customers!$I$1:$I$1001)</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 = 0, "", 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2"/>
        <v>21.825000000000003</v>
      </c>
      <c r="N75" t="str" cm="1">
        <f t="array" ref="N75">_xlfn.IFS(I75 = "Rob", "Robusta", I75 = "Exc", "Excelsa", I75 = "Ara", "Arabica", I75 = "Lib", "Liberica")</f>
        <v>Liberica</v>
      </c>
      <c r="O75" t="str">
        <f t="shared" si="3"/>
        <v>Medium</v>
      </c>
      <c r="P75" t="str">
        <f>_xlfn.XLOOKUP(orders[[#This Row],[Customer ID]],customers!$A$1:$A$1001,customers!$I$1:$I$1001)</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 = 0, "", 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2"/>
        <v>17.82</v>
      </c>
      <c r="N76" t="str" cm="1">
        <f t="array" ref="N76">_xlfn.IFS(I76 = "Rob", "Robusta", I76 = "Exc", "Excelsa", I76 = "Ara", "Arabica", I76 = "Lib", "Liberica")</f>
        <v>Excelsa</v>
      </c>
      <c r="O76" t="str">
        <f t="shared" si="3"/>
        <v>Light</v>
      </c>
      <c r="P76" t="str">
        <f>_xlfn.XLOOKUP(orders[[#This Row],[Customer ID]],customers!$A$1:$A$1001,customers!$I$1:$I$1001)</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 = 0, "", 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2"/>
        <v>53.699999999999996</v>
      </c>
      <c r="N77" t="str" cm="1">
        <f t="array" ref="N77">_xlfn.IFS(I77 = "Rob", "Robusta", I77 = "Exc", "Excelsa", I77 = "Ara", "Arabica", I77 = "Lib", "Liberica")</f>
        <v>Robusta</v>
      </c>
      <c r="O77" t="str">
        <f t="shared" si="3"/>
        <v>Dark</v>
      </c>
      <c r="P77" t="str">
        <f>_xlfn.XLOOKUP(orders[[#This Row],[Customer ID]],customers!$A$1:$A$1001,customers!$I$1:$I$1001)</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 = 0, "", 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2"/>
        <v>3.5849999999999995</v>
      </c>
      <c r="N78" t="str" cm="1">
        <f t="array" ref="N78">_xlfn.IFS(I78 = "Rob", "Robusta", I78 = "Exc", "Excelsa", I78 = "Ara", "Arabica", I78 = "Lib", "Liberica")</f>
        <v>Robusta</v>
      </c>
      <c r="O78" t="str">
        <f t="shared" si="3"/>
        <v>Light</v>
      </c>
      <c r="P78" t="str">
        <f>_xlfn.XLOOKUP(orders[[#This Row],[Customer ID]],customers!$A$1:$A$1001,customers!$I$1:$I$1001)</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 = 0, "", 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2"/>
        <v>7.29</v>
      </c>
      <c r="N79" t="str" cm="1">
        <f t="array" ref="N79">_xlfn.IFS(I79 = "Rob", "Robusta", I79 = "Exc", "Excelsa", I79 = "Ara", "Arabica", I79 = "Lib", "Liberica")</f>
        <v>Excelsa</v>
      </c>
      <c r="O79" t="str">
        <f t="shared" si="3"/>
        <v>Dark</v>
      </c>
      <c r="P79" t="str">
        <f>_xlfn.XLOOKUP(orders[[#This Row],[Customer ID]],customers!$A$1:$A$1001,customers!$I$1:$I$1001)</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 = 0, "", 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2"/>
        <v>40.5</v>
      </c>
      <c r="N80" t="str" cm="1">
        <f t="array" ref="N80">_xlfn.IFS(I80 = "Rob", "Robusta", I80 = "Exc", "Excelsa", I80 = "Ara", "Arabica", I80 = "Lib", "Liberica")</f>
        <v>Arabica</v>
      </c>
      <c r="O80" t="str">
        <f t="shared" si="3"/>
        <v>Medium</v>
      </c>
      <c r="P80" t="str">
        <f>_xlfn.XLOOKUP(orders[[#This Row],[Customer ID]],customers!$A$1:$A$1001,customers!$I$1:$I$1001)</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 = 0, "", 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2"/>
        <v>47.8</v>
      </c>
      <c r="N81" t="str" cm="1">
        <f t="array" ref="N81">_xlfn.IFS(I81 = "Rob", "Robusta", I81 = "Exc", "Excelsa", I81 = "Ara", "Arabica", I81 = "Lib", "Liberica")</f>
        <v>Robusta</v>
      </c>
      <c r="O81" t="str">
        <f t="shared" si="3"/>
        <v>Light</v>
      </c>
      <c r="P81" t="str">
        <f>_xlfn.XLOOKUP(orders[[#This Row],[Customer ID]],customers!$A$1:$A$1001,customers!$I$1:$I$1001)</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 = 0, "", 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2"/>
        <v>38.849999999999994</v>
      </c>
      <c r="N82" t="str" cm="1">
        <f t="array" ref="N82">_xlfn.IFS(I82 = "Rob", "Robusta", I82 = "Exc", "Excelsa", I82 = "Ara", "Arabica", I82 = "Lib", "Liberica")</f>
        <v>Arabica</v>
      </c>
      <c r="O82" t="str">
        <f t="shared" si="3"/>
        <v>Light</v>
      </c>
      <c r="P82" t="str">
        <f>_xlfn.XLOOKUP(orders[[#This Row],[Customer ID]],customers!$A$1:$A$1001,customers!$I$1:$I$1001)</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 = 0, "", 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2"/>
        <v>109.36499999999999</v>
      </c>
      <c r="N83" t="str" cm="1">
        <f t="array" ref="N83">_xlfn.IFS(I83 = "Rob", "Robusta", I83 = "Exc", "Excelsa", I83 = "Ara", "Arabica", I83 = "Lib", "Liberica")</f>
        <v>Liberica</v>
      </c>
      <c r="O83" t="str">
        <f t="shared" si="3"/>
        <v>Light</v>
      </c>
      <c r="P83" t="str">
        <f>_xlfn.XLOOKUP(orders[[#This Row],[Customer ID]],customers!$A$1:$A$1001,customers!$I$1:$I$1001)</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 = 0, "", 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2"/>
        <v>100.39499999999998</v>
      </c>
      <c r="N84" t="str" cm="1">
        <f t="array" ref="N84">_xlfn.IFS(I84 = "Rob", "Robusta", I84 = "Exc", "Excelsa", I84 = "Ara", "Arabica", I84 = "Lib", "Liberica")</f>
        <v>Liberica</v>
      </c>
      <c r="O84" t="str">
        <f t="shared" si="3"/>
        <v>Medium</v>
      </c>
      <c r="P84" t="str">
        <f>_xlfn.XLOOKUP(orders[[#This Row],[Customer ID]],customers!$A$1:$A$1001,customers!$I$1:$I$1001)</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 = 0, "", 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2"/>
        <v>82.339999999999989</v>
      </c>
      <c r="N85" t="str" cm="1">
        <f t="array" ref="N85">_xlfn.IFS(I85 = "Rob", "Robusta", I85 = "Exc", "Excelsa", I85 = "Ara", "Arabica", I85 = "Lib", "Liberica")</f>
        <v>Robusta</v>
      </c>
      <c r="O85" t="str">
        <f t="shared" si="3"/>
        <v>Dark</v>
      </c>
      <c r="P85" t="str">
        <f>_xlfn.XLOOKUP(orders[[#This Row],[Customer ID]],customers!$A$1:$A$1001,customers!$I$1:$I$1001)</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 = 0, "", 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2"/>
        <v>9.51</v>
      </c>
      <c r="N86" t="str" cm="1">
        <f t="array" ref="N86">_xlfn.IFS(I86 = "Rob", "Robusta", I86 = "Exc", "Excelsa", I86 = "Ara", "Arabica", I86 = "Lib", "Liberica")</f>
        <v>Liberica</v>
      </c>
      <c r="O86" t="str">
        <f t="shared" si="3"/>
        <v>Light</v>
      </c>
      <c r="P86" t="str">
        <f>_xlfn.XLOOKUP(orders[[#This Row],[Customer ID]],customers!$A$1:$A$1001,customers!$I$1:$I$1001)</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 = 0, "", 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2"/>
        <v>89.35499999999999</v>
      </c>
      <c r="N87" t="str" cm="1">
        <f t="array" ref="N87">_xlfn.IFS(I87 = "Rob", "Robusta", I87 = "Exc", "Excelsa", I87 = "Ara", "Arabica", I87 = "Lib", "Liberica")</f>
        <v>Arabica</v>
      </c>
      <c r="O87" t="str">
        <f t="shared" si="3"/>
        <v>Light</v>
      </c>
      <c r="P87" t="str">
        <f>_xlfn.XLOOKUP(orders[[#This Row],[Customer ID]],customers!$A$1:$A$1001,customers!$I$1:$I$1001)</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 = 0, "", 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2"/>
        <v>11.94</v>
      </c>
      <c r="N88" t="str" cm="1">
        <f t="array" ref="N88">_xlfn.IFS(I88 = "Rob", "Robusta", I88 = "Exc", "Excelsa", I88 = "Ara", "Arabica", I88 = "Lib", "Liberica")</f>
        <v>Arabica</v>
      </c>
      <c r="O88" t="str">
        <f t="shared" si="3"/>
        <v>Dark</v>
      </c>
      <c r="P88" t="str">
        <f>_xlfn.XLOOKUP(orders[[#This Row],[Customer ID]],customers!$A$1:$A$1001,customers!$I$1:$I$1001)</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 = 0, "", 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2"/>
        <v>33.75</v>
      </c>
      <c r="N89" t="str" cm="1">
        <f t="array" ref="N89">_xlfn.IFS(I89 = "Rob", "Robusta", I89 = "Exc", "Excelsa", I89 = "Ara", "Arabica", I89 = "Lib", "Liberica")</f>
        <v>Arabica</v>
      </c>
      <c r="O89" t="str">
        <f t="shared" si="3"/>
        <v>Medium</v>
      </c>
      <c r="P89" t="str">
        <f>_xlfn.XLOOKUP(orders[[#This Row],[Customer ID]],customers!$A$1:$A$1001,customers!$I$1:$I$1001)</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 = 0, "", 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2"/>
        <v>35.849999999999994</v>
      </c>
      <c r="N90" t="str" cm="1">
        <f t="array" ref="N90">_xlfn.IFS(I90 = "Rob", "Robusta", I90 = "Exc", "Excelsa", I90 = "Ara", "Arabica", I90 = "Lib", "Liberica")</f>
        <v>Robusta</v>
      </c>
      <c r="O90" t="str">
        <f t="shared" si="3"/>
        <v>Light</v>
      </c>
      <c r="P90" t="str">
        <f>_xlfn.XLOOKUP(orders[[#This Row],[Customer ID]],customers!$A$1:$A$1001,customers!$I$1:$I$1001)</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 = 0, "", 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2"/>
        <v>77.699999999999989</v>
      </c>
      <c r="N91" t="str" cm="1">
        <f t="array" ref="N91">_xlfn.IFS(I91 = "Rob", "Robusta", I91 = "Exc", "Excelsa", I91 = "Ara", "Arabica", I91 = "Lib", "Liberica")</f>
        <v>Arabica</v>
      </c>
      <c r="O91" t="str">
        <f t="shared" si="3"/>
        <v>Light</v>
      </c>
      <c r="P91" t="str">
        <f>_xlfn.XLOOKUP(orders[[#This Row],[Customer ID]],customers!$A$1:$A$1001,customers!$I$1:$I$1001)</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 = 0, "", 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2"/>
        <v>51.8</v>
      </c>
      <c r="N92" t="str" cm="1">
        <f t="array" ref="N92">_xlfn.IFS(I92 = "Rob", "Robusta", I92 = "Exc", "Excelsa", I92 = "Ara", "Arabica", I92 = "Lib", "Liberica")</f>
        <v>Arabica</v>
      </c>
      <c r="O92" t="str">
        <f t="shared" si="3"/>
        <v>Light</v>
      </c>
      <c r="P92" t="str">
        <f>_xlfn.XLOOKUP(orders[[#This Row],[Customer ID]],customers!$A$1:$A$1001,customers!$I$1:$I$1001)</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 = 0, "", 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2"/>
        <v>103.49999999999999</v>
      </c>
      <c r="N93" t="str" cm="1">
        <f t="array" ref="N93">_xlfn.IFS(I93 = "Rob", "Robusta", I93 = "Exc", "Excelsa", I93 = "Ara", "Arabica", I93 = "Lib", "Liberica")</f>
        <v>Arabica</v>
      </c>
      <c r="O93" t="str">
        <f t="shared" si="3"/>
        <v>Medium</v>
      </c>
      <c r="P93" t="str">
        <f>_xlfn.XLOOKUP(orders[[#This Row],[Customer ID]],customers!$A$1:$A$1001,customers!$I$1:$I$1001)</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 = 0, "", 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2"/>
        <v>44.55</v>
      </c>
      <c r="N94" t="str" cm="1">
        <f t="array" ref="N94">_xlfn.IFS(I94 = "Rob", "Robusta", I94 = "Exc", "Excelsa", I94 = "Ara", "Arabica", I94 = "Lib", "Liberica")</f>
        <v>Excelsa</v>
      </c>
      <c r="O94" t="str">
        <f t="shared" si="3"/>
        <v>Light</v>
      </c>
      <c r="P94" t="str">
        <f>_xlfn.XLOOKUP(orders[[#This Row],[Customer ID]],customers!$A$1:$A$1001,customers!$I$1:$I$1001)</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 = 0, "", 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2"/>
        <v>35.64</v>
      </c>
      <c r="N95" t="str" cm="1">
        <f t="array" ref="N95">_xlfn.IFS(I95 = "Rob", "Robusta", I95 = "Exc", "Excelsa", I95 = "Ara", "Arabica", I95 = "Lib", "Liberica")</f>
        <v>Excelsa</v>
      </c>
      <c r="O95" t="str">
        <f t="shared" si="3"/>
        <v>Light</v>
      </c>
      <c r="P95" t="str">
        <f>_xlfn.XLOOKUP(orders[[#This Row],[Customer ID]],customers!$A$1:$A$1001,customers!$I$1:$I$1001)</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 = 0, "", 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2"/>
        <v>17.91</v>
      </c>
      <c r="N96" t="str" cm="1">
        <f t="array" ref="N96">_xlfn.IFS(I96 = "Rob", "Robusta", I96 = "Exc", "Excelsa", I96 = "Ara", "Arabica", I96 = "Lib", "Liberica")</f>
        <v>Arabica</v>
      </c>
      <c r="O96" t="str">
        <f t="shared" si="3"/>
        <v>Dark</v>
      </c>
      <c r="P96" t="str">
        <f>_xlfn.XLOOKUP(orders[[#This Row],[Customer ID]],customers!$A$1:$A$1001,customers!$I$1:$I$1001)</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 = 0, "", 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2"/>
        <v>155.24999999999997</v>
      </c>
      <c r="N97" t="str" cm="1">
        <f t="array" ref="N97">_xlfn.IFS(I97 = "Rob", "Robusta", I97 = "Exc", "Excelsa", I97 = "Ara", "Arabica", I97 = "Lib", "Liberica")</f>
        <v>Arabica</v>
      </c>
      <c r="O97" t="str">
        <f t="shared" si="3"/>
        <v>Medium</v>
      </c>
      <c r="P97" t="str">
        <f>_xlfn.XLOOKUP(orders[[#This Row],[Customer ID]],customers!$A$1:$A$1001,customers!$I$1:$I$1001)</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 = 0, "", 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2"/>
        <v>5.97</v>
      </c>
      <c r="N98" t="str" cm="1">
        <f t="array" ref="N98">_xlfn.IFS(I98 = "Rob", "Robusta", I98 = "Exc", "Excelsa", I98 = "Ara", "Arabica", I98 = "Lib", "Liberica")</f>
        <v>Arabica</v>
      </c>
      <c r="O98" t="str">
        <f t="shared" si="3"/>
        <v>Dark</v>
      </c>
      <c r="P98" t="str">
        <f>_xlfn.XLOOKUP(orders[[#This Row],[Customer ID]],customers!$A$1:$A$1001,customers!$I$1:$I$1001)</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 = 0, "", 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2"/>
        <v>13.5</v>
      </c>
      <c r="N99" t="str" cm="1">
        <f t="array" ref="N99">_xlfn.IFS(I99 = "Rob", "Robusta", I99 = "Exc", "Excelsa", I99 = "Ara", "Arabica", I99 = "Lib", "Liberica")</f>
        <v>Arabica</v>
      </c>
      <c r="O99" t="str">
        <f t="shared" si="3"/>
        <v>Medium</v>
      </c>
      <c r="P99" t="str">
        <f>_xlfn.XLOOKUP(orders[[#This Row],[Customer ID]],customers!$A$1:$A$1001,customers!$I$1:$I$1001)</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 = 0, "", 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2"/>
        <v>2.9849999999999999</v>
      </c>
      <c r="N100" t="str" cm="1">
        <f t="array" ref="N100">_xlfn.IFS(I100 = "Rob", "Robusta", I100 = "Exc", "Excelsa", I100 = "Ara", "Arabica", I100 = "Lib", "Liberica")</f>
        <v>Arabica</v>
      </c>
      <c r="O100" t="str">
        <f t="shared" si="3"/>
        <v>Dark</v>
      </c>
      <c r="P100" t="str">
        <f>_xlfn.XLOOKUP(orders[[#This Row],[Customer ID]],customers!$A$1:$A$1001,customers!$I$1:$I$1001)</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 = 0, "", 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2"/>
        <v>13.095000000000001</v>
      </c>
      <c r="N101" t="str" cm="1">
        <f t="array" ref="N101">_xlfn.IFS(I101 = "Rob", "Robusta", I101 = "Exc", "Excelsa", I101 = "Ara", "Arabica", I101 = "Lib", "Liberica")</f>
        <v>Liberica</v>
      </c>
      <c r="O101" t="str">
        <f t="shared" si="3"/>
        <v>Medium</v>
      </c>
      <c r="P101" t="str">
        <f>_xlfn.XLOOKUP(orders[[#This Row],[Customer ID]],customers!$A$1:$A$1001,customers!$I$1:$I$1001)</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 = 0, "", 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2"/>
        <v>7.77</v>
      </c>
      <c r="N102" t="str" cm="1">
        <f t="array" ref="N102">_xlfn.IFS(I102 = "Rob", "Robusta", I102 = "Exc", "Excelsa", I102 = "Ara", "Arabica", I102 = "Lib", "Liberica")</f>
        <v>Arabica</v>
      </c>
      <c r="O102" t="str">
        <f t="shared" si="3"/>
        <v>Light</v>
      </c>
      <c r="P102" t="str">
        <f>_xlfn.XLOOKUP(orders[[#This Row],[Customer ID]],customers!$A$1:$A$1001,customers!$I$1:$I$1001)</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 = 0, "", 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2"/>
        <v>148.92499999999998</v>
      </c>
      <c r="N103" t="str" cm="1">
        <f t="array" ref="N103">_xlfn.IFS(I103 = "Rob", "Robusta", I103 = "Exc", "Excelsa", I103 = "Ara", "Arabica", I103 = "Lib", "Liberica")</f>
        <v>Liberica</v>
      </c>
      <c r="O103" t="str">
        <f t="shared" si="3"/>
        <v>Dark</v>
      </c>
      <c r="P103" t="str">
        <f>_xlfn.XLOOKUP(orders[[#This Row],[Customer ID]],customers!$A$1:$A$1001,customers!$I$1:$I$1001)</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 = 0, "", 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2"/>
        <v>38.849999999999994</v>
      </c>
      <c r="N104" t="str" cm="1">
        <f t="array" ref="N104">_xlfn.IFS(I104 = "Rob", "Robusta", I104 = "Exc", "Excelsa", I104 = "Ara", "Arabica", I104 = "Lib", "Liberica")</f>
        <v>Liberica</v>
      </c>
      <c r="O104" t="str">
        <f t="shared" si="3"/>
        <v>Dark</v>
      </c>
      <c r="P104" t="str">
        <f>_xlfn.XLOOKUP(orders[[#This Row],[Customer ID]],customers!$A$1:$A$1001,customers!$I$1:$I$1001)</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 = 0, "", 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2"/>
        <v>11.94</v>
      </c>
      <c r="N105" t="str" cm="1">
        <f t="array" ref="N105">_xlfn.IFS(I105 = "Rob", "Robusta", I105 = "Exc", "Excelsa", I105 = "Ara", "Arabica", I105 = "Lib", "Liberica")</f>
        <v>Robusta</v>
      </c>
      <c r="O105" t="str">
        <f t="shared" si="3"/>
        <v>Medium</v>
      </c>
      <c r="P105" t="str">
        <f>_xlfn.XLOOKUP(orders[[#This Row],[Customer ID]],customers!$A$1:$A$1001,customers!$I$1:$I$1001)</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 = 0, "", 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2"/>
        <v>87.300000000000011</v>
      </c>
      <c r="N106" t="str" cm="1">
        <f t="array" ref="N106">_xlfn.IFS(I106 = "Rob", "Robusta", I106 = "Exc", "Excelsa", I106 = "Ara", "Arabica", I106 = "Lib", "Liberica")</f>
        <v>Liberica</v>
      </c>
      <c r="O106" t="str">
        <f t="shared" si="3"/>
        <v>Medium</v>
      </c>
      <c r="P106" t="str">
        <f>_xlfn.XLOOKUP(orders[[#This Row],[Customer ID]],customers!$A$1:$A$1001,customers!$I$1:$I$1001)</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 = 0, "", 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2"/>
        <v>40.5</v>
      </c>
      <c r="N107" t="str" cm="1">
        <f t="array" ref="N107">_xlfn.IFS(I107 = "Rob", "Robusta", I107 = "Exc", "Excelsa", I107 = "Ara", "Arabica", I107 = "Lib", "Liberica")</f>
        <v>Arabica</v>
      </c>
      <c r="O107" t="str">
        <f t="shared" si="3"/>
        <v>Medium</v>
      </c>
      <c r="P107" t="str">
        <f>_xlfn.XLOOKUP(orders[[#This Row],[Customer ID]],customers!$A$1:$A$1001,customers!$I$1:$I$1001)</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 = 0, "", 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2"/>
        <v>24.3</v>
      </c>
      <c r="N108" t="str" cm="1">
        <f t="array" ref="N108">_xlfn.IFS(I108 = "Rob", "Robusta", I108 = "Exc", "Excelsa", I108 = "Ara", "Arabica", I108 = "Lib", "Liberica")</f>
        <v>Excelsa</v>
      </c>
      <c r="O108" t="str">
        <f t="shared" si="3"/>
        <v>Dark</v>
      </c>
      <c r="P108" t="str">
        <f>_xlfn.XLOOKUP(orders[[#This Row],[Customer ID]],customers!$A$1:$A$1001,customers!$I$1:$I$1001)</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 = 0, "", 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2"/>
        <v>17.91</v>
      </c>
      <c r="N109" t="str" cm="1">
        <f t="array" ref="N109">_xlfn.IFS(I109 = "Rob", "Robusta", I109 = "Exc", "Excelsa", I109 = "Ara", "Arabica", I109 = "Lib", "Liberica")</f>
        <v>Robusta</v>
      </c>
      <c r="O109" t="str">
        <f t="shared" si="3"/>
        <v>Medium</v>
      </c>
      <c r="P109" t="str">
        <f>_xlfn.XLOOKUP(orders[[#This Row],[Customer ID]],customers!$A$1:$A$1001,customers!$I$1:$I$1001)</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 = 0, "", 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2"/>
        <v>27</v>
      </c>
      <c r="N110" t="str" cm="1">
        <f t="array" ref="N110">_xlfn.IFS(I110 = "Rob", "Robusta", I110 = "Exc", "Excelsa", I110 = "Ara", "Arabica", I110 = "Lib", "Liberica")</f>
        <v>Arabica</v>
      </c>
      <c r="O110" t="str">
        <f t="shared" si="3"/>
        <v>Medium</v>
      </c>
      <c r="P110" t="str">
        <f>_xlfn.XLOOKUP(orders[[#This Row],[Customer ID]],customers!$A$1:$A$1001,customers!$I$1:$I$1001)</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 = 0, "", 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2"/>
        <v>7.77</v>
      </c>
      <c r="N111" t="str" cm="1">
        <f t="array" ref="N111">_xlfn.IFS(I111 = "Rob", "Robusta", I111 = "Exc", "Excelsa", I111 = "Ara", "Arabica", I111 = "Lib", "Liberica")</f>
        <v>Liberica</v>
      </c>
      <c r="O111" t="str">
        <f t="shared" si="3"/>
        <v>Dark</v>
      </c>
      <c r="P111" t="str">
        <f>_xlfn.XLOOKUP(orders[[#This Row],[Customer ID]],customers!$A$1:$A$1001,customers!$I$1:$I$1001)</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 = 0, "", 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2"/>
        <v>13.365</v>
      </c>
      <c r="N112" t="str" cm="1">
        <f t="array" ref="N112">_xlfn.IFS(I112 = "Rob", "Robusta", I112 = "Exc", "Excelsa", I112 = "Ara", "Arabica", I112 = "Lib", "Liberica")</f>
        <v>Excelsa</v>
      </c>
      <c r="O112" t="str">
        <f t="shared" si="3"/>
        <v>Light</v>
      </c>
      <c r="P112" t="str">
        <f>_xlfn.XLOOKUP(orders[[#This Row],[Customer ID]],customers!$A$1:$A$1001,customers!$I$1:$I$1001)</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 = 0, "", 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2"/>
        <v>26.849999999999994</v>
      </c>
      <c r="N113" t="str" cm="1">
        <f t="array" ref="N113">_xlfn.IFS(I113 = "Rob", "Robusta", I113 = "Exc", "Excelsa", I113 = "Ara", "Arabica", I113 = "Lib", "Liberica")</f>
        <v>Robusta</v>
      </c>
      <c r="O113" t="str">
        <f t="shared" si="3"/>
        <v>Dark</v>
      </c>
      <c r="P113" t="str">
        <f>_xlfn.XLOOKUP(orders[[#This Row],[Customer ID]],customers!$A$1:$A$1001,customers!$I$1:$I$1001)</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 = 0, "", 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2"/>
        <v>11.25</v>
      </c>
      <c r="N114" t="str" cm="1">
        <f t="array" ref="N114">_xlfn.IFS(I114 = "Rob", "Robusta", I114 = "Exc", "Excelsa", I114 = "Ara", "Arabica", I114 = "Lib", "Liberica")</f>
        <v>Arabica</v>
      </c>
      <c r="O114" t="str">
        <f t="shared" si="3"/>
        <v>Medium</v>
      </c>
      <c r="P114" t="str">
        <f>_xlfn.XLOOKUP(orders[[#This Row],[Customer ID]],customers!$A$1:$A$1001,customers!$I$1:$I$1001)</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 = 0, "", 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2"/>
        <v>14.55</v>
      </c>
      <c r="N115" t="str" cm="1">
        <f t="array" ref="N115">_xlfn.IFS(I115 = "Rob", "Robusta", I115 = "Exc", "Excelsa", I115 = "Ara", "Arabica", I115 = "Lib", "Liberica")</f>
        <v>Liberica</v>
      </c>
      <c r="O115" t="str">
        <f t="shared" si="3"/>
        <v>Medium</v>
      </c>
      <c r="P115" t="str">
        <f>_xlfn.XLOOKUP(orders[[#This Row],[Customer ID]],customers!$A$1:$A$1001,customers!$I$1:$I$1001)</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 = 0, "", 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2"/>
        <v>14.339999999999998</v>
      </c>
      <c r="N116" t="str" cm="1">
        <f t="array" ref="N116">_xlfn.IFS(I116 = "Rob", "Robusta", I116 = "Exc", "Excelsa", I116 = "Ara", "Arabica", I116 = "Lib", "Liberica")</f>
        <v>Robusta</v>
      </c>
      <c r="O116" t="str">
        <f t="shared" si="3"/>
        <v>Light</v>
      </c>
      <c r="P116" t="str">
        <f>_xlfn.XLOOKUP(orders[[#This Row],[Customer ID]],customers!$A$1:$A$1001,customers!$I$1:$I$1001)</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 = 0, "", 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2"/>
        <v>15.85</v>
      </c>
      <c r="N117" t="str" cm="1">
        <f t="array" ref="N117">_xlfn.IFS(I117 = "Rob", "Robusta", I117 = "Exc", "Excelsa", I117 = "Ara", "Arabica", I117 = "Lib", "Liberica")</f>
        <v>Liberica</v>
      </c>
      <c r="O117" t="str">
        <f t="shared" si="3"/>
        <v>Light</v>
      </c>
      <c r="P117" t="str">
        <f>_xlfn.XLOOKUP(orders[[#This Row],[Customer ID]],customers!$A$1:$A$1001,customers!$I$1:$I$1001)</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 = 0, "", 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2"/>
        <v>19.02</v>
      </c>
      <c r="N118" t="str" cm="1">
        <f t="array" ref="N118">_xlfn.IFS(I118 = "Rob", "Robusta", I118 = "Exc", "Excelsa", I118 = "Ara", "Arabica", I118 = "Lib", "Liberica")</f>
        <v>Liberica</v>
      </c>
      <c r="O118" t="str">
        <f t="shared" si="3"/>
        <v>Light</v>
      </c>
      <c r="P118" t="str">
        <f>_xlfn.XLOOKUP(orders[[#This Row],[Customer ID]],customers!$A$1:$A$1001,customers!$I$1:$I$1001)</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 = 0, "", 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2"/>
        <v>38.04</v>
      </c>
      <c r="N119" t="str" cm="1">
        <f t="array" ref="N119">_xlfn.IFS(I119 = "Rob", "Robusta", I119 = "Exc", "Excelsa", I119 = "Ara", "Arabica", I119 = "Lib", "Liberica")</f>
        <v>Liberica</v>
      </c>
      <c r="O119" t="str">
        <f t="shared" si="3"/>
        <v>Light</v>
      </c>
      <c r="P119" t="str">
        <f>_xlfn.XLOOKUP(orders[[#This Row],[Customer ID]],customers!$A$1:$A$1001,customers!$I$1:$I$1001)</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 = 0, "", 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2"/>
        <v>21.87</v>
      </c>
      <c r="N120" t="str" cm="1">
        <f t="array" ref="N120">_xlfn.IFS(I120 = "Rob", "Robusta", I120 = "Exc", "Excelsa", I120 = "Ara", "Arabica", I120 = "Lib", "Liberica")</f>
        <v>Excelsa</v>
      </c>
      <c r="O120" t="str">
        <f t="shared" si="3"/>
        <v>Dark</v>
      </c>
      <c r="P120" t="str">
        <f>_xlfn.XLOOKUP(orders[[#This Row],[Customer ID]],customers!$A$1:$A$1001,customers!$I$1:$I$1001)</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 = 0, "", 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2"/>
        <v>4.125</v>
      </c>
      <c r="N121" t="str" cm="1">
        <f t="array" ref="N121">_xlfn.IFS(I121 = "Rob", "Robusta", I121 = "Exc", "Excelsa", I121 = "Ara", "Arabica", I121 = "Lib", "Liberica")</f>
        <v>Excelsa</v>
      </c>
      <c r="O121" t="str">
        <f t="shared" si="3"/>
        <v>Medium</v>
      </c>
      <c r="P121" t="str">
        <f>_xlfn.XLOOKUP(orders[[#This Row],[Customer ID]],customers!$A$1:$A$1001,customers!$I$1:$I$1001)</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 = 0, "", 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2"/>
        <v>3.8849999999999998</v>
      </c>
      <c r="N122" t="str" cm="1">
        <f t="array" ref="N122">_xlfn.IFS(I122 = "Rob", "Robusta", I122 = "Exc", "Excelsa", I122 = "Ara", "Arabica", I122 = "Lib", "Liberica")</f>
        <v>Arabica</v>
      </c>
      <c r="O122" t="str">
        <f t="shared" si="3"/>
        <v>Light</v>
      </c>
      <c r="P122" t="str">
        <f>_xlfn.XLOOKUP(orders[[#This Row],[Customer ID]],customers!$A$1:$A$1001,customers!$I$1:$I$1001)</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 = 0, "", 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2"/>
        <v>68.75</v>
      </c>
      <c r="N123" t="str" cm="1">
        <f t="array" ref="N123">_xlfn.IFS(I123 = "Rob", "Robusta", I123 = "Exc", "Excelsa", I123 = "Ara", "Arabica", I123 = "Lib", "Liberica")</f>
        <v>Excelsa</v>
      </c>
      <c r="O123" t="str">
        <f t="shared" si="3"/>
        <v>Medium</v>
      </c>
      <c r="P123" t="str">
        <f>_xlfn.XLOOKUP(orders[[#This Row],[Customer ID]],customers!$A$1:$A$1001,customers!$I$1:$I$1001)</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 = 0, "", 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2"/>
        <v>23.88</v>
      </c>
      <c r="N124" t="str" cm="1">
        <f t="array" ref="N124">_xlfn.IFS(I124 = "Rob", "Robusta", I124 = "Exc", "Excelsa", I124 = "Ara", "Arabica", I124 = "Lib", "Liberica")</f>
        <v>Arabica</v>
      </c>
      <c r="O124" t="str">
        <f t="shared" si="3"/>
        <v>Dark</v>
      </c>
      <c r="P124" t="str">
        <f>_xlfn.XLOOKUP(orders[[#This Row],[Customer ID]],customers!$A$1:$A$1001,customers!$I$1:$I$1001)</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 = 0, "", 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2"/>
        <v>145.82</v>
      </c>
      <c r="N125" t="str" cm="1">
        <f t="array" ref="N125">_xlfn.IFS(I125 = "Rob", "Robusta", I125 = "Exc", "Excelsa", I125 = "Ara", "Arabica", I125 = "Lib", "Liberica")</f>
        <v>Liberica</v>
      </c>
      <c r="O125" t="str">
        <f t="shared" si="3"/>
        <v>Light</v>
      </c>
      <c r="P125" t="str">
        <f>_xlfn.XLOOKUP(orders[[#This Row],[Customer ID]],customers!$A$1:$A$1001,customers!$I$1:$I$1001)</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 = 0, "", 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2"/>
        <v>21.825000000000003</v>
      </c>
      <c r="N126" t="str" cm="1">
        <f t="array" ref="N126">_xlfn.IFS(I126 = "Rob", "Robusta", I126 = "Exc", "Excelsa", I126 = "Ara", "Arabica", I126 = "Lib", "Liberica")</f>
        <v>Liberica</v>
      </c>
      <c r="O126" t="str">
        <f t="shared" si="3"/>
        <v>Medium</v>
      </c>
      <c r="P126" t="str">
        <f>_xlfn.XLOOKUP(orders[[#This Row],[Customer ID]],customers!$A$1:$A$1001,customers!$I$1:$I$1001)</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 = 0, "", 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2"/>
        <v>26.19</v>
      </c>
      <c r="N127" t="str" cm="1">
        <f t="array" ref="N127">_xlfn.IFS(I127 = "Rob", "Robusta", I127 = "Exc", "Excelsa", I127 = "Ara", "Arabica", I127 = "Lib", "Liberica")</f>
        <v>Liberica</v>
      </c>
      <c r="O127" t="str">
        <f t="shared" si="3"/>
        <v>Medium</v>
      </c>
      <c r="P127" t="str">
        <f>_xlfn.XLOOKUP(orders[[#This Row],[Customer ID]],customers!$A$1:$A$1001,customers!$I$1:$I$1001)</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 = 0, "", 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2"/>
        <v>11.25</v>
      </c>
      <c r="N128" t="str" cm="1">
        <f t="array" ref="N128">_xlfn.IFS(I128 = "Rob", "Robusta", I128 = "Exc", "Excelsa", I128 = "Ara", "Arabica", I128 = "Lib", "Liberica")</f>
        <v>Arabica</v>
      </c>
      <c r="O128" t="str">
        <f t="shared" si="3"/>
        <v>Medium</v>
      </c>
      <c r="P128" t="str">
        <f>_xlfn.XLOOKUP(orders[[#This Row],[Customer ID]],customers!$A$1:$A$1001,customers!$I$1:$I$1001)</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 = 0, "", 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2"/>
        <v>77.699999999999989</v>
      </c>
      <c r="N129" t="str" cm="1">
        <f t="array" ref="N129">_xlfn.IFS(I129 = "Rob", "Robusta", I129 = "Exc", "Excelsa", I129 = "Ara", "Arabica", I129 = "Lib", "Liberica")</f>
        <v>Liberica</v>
      </c>
      <c r="O129" t="str">
        <f t="shared" si="3"/>
        <v>Dark</v>
      </c>
      <c r="P129" t="str">
        <f>_xlfn.XLOOKUP(orders[[#This Row],[Customer ID]],customers!$A$1:$A$1001,customers!$I$1:$I$1001)</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 = 0, "", 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2"/>
        <v>6.75</v>
      </c>
      <c r="N130" t="str" cm="1">
        <f t="array" ref="N130">_xlfn.IFS(I130 = "Rob", "Robusta", I130 = "Exc", "Excelsa", I130 = "Ara", "Arabica", I130 = "Lib", "Liberica")</f>
        <v>Arabica</v>
      </c>
      <c r="O130" t="str">
        <f t="shared" si="3"/>
        <v>Medium</v>
      </c>
      <c r="P130" t="str">
        <f>_xlfn.XLOOKUP(orders[[#This Row],[Customer ID]],customers!$A$1:$A$1001,customers!$I$1:$I$1001)</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 = 0, "", 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4">SUM(L131*E131)</f>
        <v>12.15</v>
      </c>
      <c r="N131" t="str" cm="1">
        <f t="array" ref="N131">_xlfn.IFS(I131 = "Rob", "Robusta", I131 = "Exc", "Excelsa", I131 = "Ara", "Arabica", I131 = "Lib", "Liberica")</f>
        <v>Excelsa</v>
      </c>
      <c r="O131" t="str">
        <f t="shared" ref="O131:O194" si="5">IF(J131 = "M", "Medium", IF(J131= "L", "Light",IF( J131 = "D", "Dark")))</f>
        <v>Dark</v>
      </c>
      <c r="P131" t="str">
        <f>_xlfn.XLOOKUP(orders[[#This Row],[Customer ID]],customers!$A$1:$A$1001,customers!$I$1:$I$1001)</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 = 0, "", 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4"/>
        <v>148.92499999999998</v>
      </c>
      <c r="N132" t="str" cm="1">
        <f t="array" ref="N132">_xlfn.IFS(I132 = "Rob", "Robusta", I132 = "Exc", "Excelsa", I132 = "Ara", "Arabica", I132 = "Lib", "Liberica")</f>
        <v>Arabica</v>
      </c>
      <c r="O132" t="str">
        <f t="shared" si="5"/>
        <v>Light</v>
      </c>
      <c r="P132" t="str">
        <f>_xlfn.XLOOKUP(orders[[#This Row],[Customer ID]],customers!$A$1:$A$1001,customers!$I$1:$I$1001)</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 = 0, "", 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4"/>
        <v>14.58</v>
      </c>
      <c r="N133" t="str" cm="1">
        <f t="array" ref="N133">_xlfn.IFS(I133 = "Rob", "Robusta", I133 = "Exc", "Excelsa", I133 = "Ara", "Arabica", I133 = "Lib", "Liberica")</f>
        <v>Excelsa</v>
      </c>
      <c r="O133" t="str">
        <f t="shared" si="5"/>
        <v>Dark</v>
      </c>
      <c r="P133" t="str">
        <f>_xlfn.XLOOKUP(orders[[#This Row],[Customer ID]],customers!$A$1:$A$1001,customers!$I$1:$I$1001)</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 = 0, "", 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4"/>
        <v>148.92499999999998</v>
      </c>
      <c r="N134" t="str" cm="1">
        <f t="array" ref="N134">_xlfn.IFS(I134 = "Rob", "Robusta", I134 = "Exc", "Excelsa", I134 = "Ara", "Arabica", I134 = "Lib", "Liberica")</f>
        <v>Arabica</v>
      </c>
      <c r="O134" t="str">
        <f t="shared" si="5"/>
        <v>Light</v>
      </c>
      <c r="P134" t="str">
        <f>_xlfn.XLOOKUP(orders[[#This Row],[Customer ID]],customers!$A$1:$A$1001,customers!$I$1:$I$1001)</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 = 0, "", 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4"/>
        <v>12.95</v>
      </c>
      <c r="N135" t="str" cm="1">
        <f t="array" ref="N135">_xlfn.IFS(I135 = "Rob", "Robusta", I135 = "Exc", "Excelsa", I135 = "Ara", "Arabica", I135 = "Lib", "Liberica")</f>
        <v>Liberica</v>
      </c>
      <c r="O135" t="str">
        <f t="shared" si="5"/>
        <v>Dark</v>
      </c>
      <c r="P135" t="str">
        <f>_xlfn.XLOOKUP(orders[[#This Row],[Customer ID]],customers!$A$1:$A$1001,customers!$I$1:$I$1001)</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 = 0, "", 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4"/>
        <v>94.874999999999986</v>
      </c>
      <c r="N136" t="str" cm="1">
        <f t="array" ref="N136">_xlfn.IFS(I136 = "Rob", "Robusta", I136 = "Exc", "Excelsa", I136 = "Ara", "Arabica", I136 = "Lib", "Liberica")</f>
        <v>Excelsa</v>
      </c>
      <c r="O136" t="str">
        <f t="shared" si="5"/>
        <v>Medium</v>
      </c>
      <c r="P136" t="str">
        <f>_xlfn.XLOOKUP(orders[[#This Row],[Customer ID]],customers!$A$1:$A$1001,customers!$I$1:$I$1001)</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 = 0, "", 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4"/>
        <v>38.849999999999994</v>
      </c>
      <c r="N137" t="str" cm="1">
        <f t="array" ref="N137">_xlfn.IFS(I137 = "Rob", "Robusta", I137 = "Exc", "Excelsa", I137 = "Ara", "Arabica", I137 = "Lib", "Liberica")</f>
        <v>Arabica</v>
      </c>
      <c r="O137" t="str">
        <f t="shared" si="5"/>
        <v>Light</v>
      </c>
      <c r="P137" t="str">
        <f>_xlfn.XLOOKUP(orders[[#This Row],[Customer ID]],customers!$A$1:$A$1001,customers!$I$1:$I$1001)</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 = 0, "", 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4"/>
        <v>11.94</v>
      </c>
      <c r="N138" t="str" cm="1">
        <f t="array" ref="N138">_xlfn.IFS(I138 = "Rob", "Robusta", I138 = "Exc", "Excelsa", I138 = "Ara", "Arabica", I138 = "Lib", "Liberica")</f>
        <v>Arabica</v>
      </c>
      <c r="O138" t="str">
        <f t="shared" si="5"/>
        <v>Dark</v>
      </c>
      <c r="P138" t="str">
        <f>_xlfn.XLOOKUP(orders[[#This Row],[Customer ID]],customers!$A$1:$A$1001,customers!$I$1:$I$1001)</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 = 0, "", 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4"/>
        <v>102.46499999999997</v>
      </c>
      <c r="N139" t="str" cm="1">
        <f t="array" ref="N139">_xlfn.IFS(I139 = "Rob", "Robusta", I139 = "Exc", "Excelsa", I139 = "Ara", "Arabica", I139 = "Lib", "Liberica")</f>
        <v>Excelsa</v>
      </c>
      <c r="O139" t="str">
        <f t="shared" si="5"/>
        <v>Light</v>
      </c>
      <c r="P139" t="str">
        <f>_xlfn.XLOOKUP(orders[[#This Row],[Customer ID]],customers!$A$1:$A$1001,customers!$I$1:$I$1001)</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 = 0, "", 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4"/>
        <v>48.6</v>
      </c>
      <c r="N140" t="str" cm="1">
        <f t="array" ref="N140">_xlfn.IFS(I140 = "Rob", "Robusta", I140 = "Exc", "Excelsa", I140 = "Ara", "Arabica", I140 = "Lib", "Liberica")</f>
        <v>Excelsa</v>
      </c>
      <c r="O140" t="str">
        <f t="shared" si="5"/>
        <v>Dark</v>
      </c>
      <c r="P140" t="str">
        <f>_xlfn.XLOOKUP(orders[[#This Row],[Customer ID]],customers!$A$1:$A$1001,customers!$I$1:$I$1001)</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 = 0, "", 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4"/>
        <v>77.699999999999989</v>
      </c>
      <c r="N141" t="str" cm="1">
        <f t="array" ref="N141">_xlfn.IFS(I141 = "Rob", "Robusta", I141 = "Exc", "Excelsa", I141 = "Ara", "Arabica", I141 = "Lib", "Liberica")</f>
        <v>Liberica</v>
      </c>
      <c r="O141" t="str">
        <f t="shared" si="5"/>
        <v>Dark</v>
      </c>
      <c r="P141" t="str">
        <f>_xlfn.XLOOKUP(orders[[#This Row],[Customer ID]],customers!$A$1:$A$1001,customers!$I$1:$I$1001)</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 = 0, "", 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4"/>
        <v>29.784999999999997</v>
      </c>
      <c r="N142" t="str" cm="1">
        <f t="array" ref="N142">_xlfn.IFS(I142 = "Rob", "Robusta", I142 = "Exc", "Excelsa", I142 = "Ara", "Arabica", I142 = "Lib", "Liberica")</f>
        <v>Liberica</v>
      </c>
      <c r="O142" t="str">
        <f t="shared" si="5"/>
        <v>Dark</v>
      </c>
      <c r="P142" t="str">
        <f>_xlfn.XLOOKUP(orders[[#This Row],[Customer ID]],customers!$A$1:$A$1001,customers!$I$1:$I$1001)</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 = 0, "", 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4"/>
        <v>15.54</v>
      </c>
      <c r="N143" t="str" cm="1">
        <f t="array" ref="N143">_xlfn.IFS(I143 = "Rob", "Robusta", I143 = "Exc", "Excelsa", I143 = "Ara", "Arabica", I143 = "Lib", "Liberica")</f>
        <v>Arabica</v>
      </c>
      <c r="O143" t="str">
        <f t="shared" si="5"/>
        <v>Light</v>
      </c>
      <c r="P143" t="str">
        <f>_xlfn.XLOOKUP(orders[[#This Row],[Customer ID]],customers!$A$1:$A$1001,customers!$I$1:$I$1001)</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 = 0, "", 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4"/>
        <v>136.61999999999998</v>
      </c>
      <c r="N144" t="str" cm="1">
        <f t="array" ref="N144">_xlfn.IFS(I144 = "Rob", "Robusta", I144 = "Exc", "Excelsa", I144 = "Ara", "Arabica", I144 = "Lib", "Liberica")</f>
        <v>Excelsa</v>
      </c>
      <c r="O144" t="str">
        <f t="shared" si="5"/>
        <v>Light</v>
      </c>
      <c r="P144" t="str">
        <f>_xlfn.XLOOKUP(orders[[#This Row],[Customer ID]],customers!$A$1:$A$1001,customers!$I$1:$I$1001)</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 = 0, "", 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4"/>
        <v>17.46</v>
      </c>
      <c r="N145" t="str" cm="1">
        <f t="array" ref="N145">_xlfn.IFS(I145 = "Rob", "Robusta", I145 = "Exc", "Excelsa", I145 = "Ara", "Arabica", I145 = "Lib", "Liberica")</f>
        <v>Liberica</v>
      </c>
      <c r="O145" t="str">
        <f t="shared" si="5"/>
        <v>Medium</v>
      </c>
      <c r="P145" t="str">
        <f>_xlfn.XLOOKUP(orders[[#This Row],[Customer ID]],customers!$A$1:$A$1001,customers!$I$1:$I$1001)</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 = 0, "", 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4"/>
        <v>68.309999999999988</v>
      </c>
      <c r="N146" t="str" cm="1">
        <f t="array" ref="N146">_xlfn.IFS(I146 = "Rob", "Robusta", I146 = "Exc", "Excelsa", I146 = "Ara", "Arabica", I146 = "Lib", "Liberica")</f>
        <v>Excelsa</v>
      </c>
      <c r="O146" t="str">
        <f t="shared" si="5"/>
        <v>Light</v>
      </c>
      <c r="P146" t="str">
        <f>_xlfn.XLOOKUP(orders[[#This Row],[Customer ID]],customers!$A$1:$A$1001,customers!$I$1:$I$1001)</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 = 0, "", 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4"/>
        <v>17.46</v>
      </c>
      <c r="N147" t="str" cm="1">
        <f t="array" ref="N147">_xlfn.IFS(I147 = "Rob", "Robusta", I147 = "Exc", "Excelsa", I147 = "Ara", "Arabica", I147 = "Lib", "Liberica")</f>
        <v>Liberica</v>
      </c>
      <c r="O147" t="str">
        <f t="shared" si="5"/>
        <v>Medium</v>
      </c>
      <c r="P147" t="str">
        <f>_xlfn.XLOOKUP(orders[[#This Row],[Customer ID]],customers!$A$1:$A$1001,customers!$I$1:$I$1001)</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 = 0, "", 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4"/>
        <v>43.650000000000006</v>
      </c>
      <c r="N148" t="str" cm="1">
        <f t="array" ref="N148">_xlfn.IFS(I148 = "Rob", "Robusta", I148 = "Exc", "Excelsa", I148 = "Ara", "Arabica", I148 = "Lib", "Liberica")</f>
        <v>Liberica</v>
      </c>
      <c r="O148" t="str">
        <f t="shared" si="5"/>
        <v>Medium</v>
      </c>
      <c r="P148" t="str">
        <f>_xlfn.XLOOKUP(orders[[#This Row],[Customer ID]],customers!$A$1:$A$1001,customers!$I$1:$I$1001)</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 = 0, "", 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4"/>
        <v>27.5</v>
      </c>
      <c r="N149" t="str" cm="1">
        <f t="array" ref="N149">_xlfn.IFS(I149 = "Rob", "Robusta", I149 = "Exc", "Excelsa", I149 = "Ara", "Arabica", I149 = "Lib", "Liberica")</f>
        <v>Excelsa</v>
      </c>
      <c r="O149" t="str">
        <f t="shared" si="5"/>
        <v>Medium</v>
      </c>
      <c r="P149" t="str">
        <f>_xlfn.XLOOKUP(orders[[#This Row],[Customer ID]],customers!$A$1:$A$1001,customers!$I$1:$I$1001)</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 = 0, "", 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4"/>
        <v>18.225000000000001</v>
      </c>
      <c r="N150" t="str" cm="1">
        <f t="array" ref="N150">_xlfn.IFS(I150 = "Rob", "Robusta", I150 = "Exc", "Excelsa", I150 = "Ara", "Arabica", I150 = "Lib", "Liberica")</f>
        <v>Excelsa</v>
      </c>
      <c r="O150" t="str">
        <f t="shared" si="5"/>
        <v>Dark</v>
      </c>
      <c r="P150" t="str">
        <f>_xlfn.XLOOKUP(orders[[#This Row],[Customer ID]],customers!$A$1:$A$1001,customers!$I$1:$I$1001)</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 = 0, "", 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4"/>
        <v>51.749999999999993</v>
      </c>
      <c r="N151" t="str" cm="1">
        <f t="array" ref="N151">_xlfn.IFS(I151 = "Rob", "Robusta", I151 = "Exc", "Excelsa", I151 = "Ara", "Arabica", I151 = "Lib", "Liberica")</f>
        <v>Arabica</v>
      </c>
      <c r="O151" t="str">
        <f t="shared" si="5"/>
        <v>Medium</v>
      </c>
      <c r="P151" t="str">
        <f>_xlfn.XLOOKUP(orders[[#This Row],[Customer ID]],customers!$A$1:$A$1001,customers!$I$1:$I$1001)</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 = 0, "", 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4"/>
        <v>12.95</v>
      </c>
      <c r="N152" t="str" cm="1">
        <f t="array" ref="N152">_xlfn.IFS(I152 = "Rob", "Robusta", I152 = "Exc", "Excelsa", I152 = "Ara", "Arabica", I152 = "Lib", "Liberica")</f>
        <v>Liberica</v>
      </c>
      <c r="O152" t="str">
        <f t="shared" si="5"/>
        <v>Dark</v>
      </c>
      <c r="P152" t="str">
        <f>_xlfn.XLOOKUP(orders[[#This Row],[Customer ID]],customers!$A$1:$A$1001,customers!$I$1:$I$1001)</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 = 0, "", 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4"/>
        <v>33.75</v>
      </c>
      <c r="N153" t="str" cm="1">
        <f t="array" ref="N153">_xlfn.IFS(I153 = "Rob", "Robusta", I153 = "Exc", "Excelsa", I153 = "Ara", "Arabica", I153 = "Lib", "Liberica")</f>
        <v>Arabica</v>
      </c>
      <c r="O153" t="str">
        <f t="shared" si="5"/>
        <v>Medium</v>
      </c>
      <c r="P153" t="str">
        <f>_xlfn.XLOOKUP(orders[[#This Row],[Customer ID]],customers!$A$1:$A$1001,customers!$I$1:$I$1001)</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 = 0, "", 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4"/>
        <v>68.655000000000001</v>
      </c>
      <c r="N154" t="str" cm="1">
        <f t="array" ref="N154">_xlfn.IFS(I154 = "Rob", "Robusta", I154 = "Exc", "Excelsa", I154 = "Ara", "Arabica", I154 = "Lib", "Liberica")</f>
        <v>Robusta</v>
      </c>
      <c r="O154" t="str">
        <f t="shared" si="5"/>
        <v>Medium</v>
      </c>
      <c r="P154" t="str">
        <f>_xlfn.XLOOKUP(orders[[#This Row],[Customer ID]],customers!$A$1:$A$1001,customers!$I$1:$I$1001)</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 = 0, "", 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4"/>
        <v>2.6849999999999996</v>
      </c>
      <c r="N155" t="str" cm="1">
        <f t="array" ref="N155">_xlfn.IFS(I155 = "Rob", "Robusta", I155 = "Exc", "Excelsa", I155 = "Ara", "Arabica", I155 = "Lib", "Liberica")</f>
        <v>Robusta</v>
      </c>
      <c r="O155" t="str">
        <f t="shared" si="5"/>
        <v>Dark</v>
      </c>
      <c r="P155" t="str">
        <f>_xlfn.XLOOKUP(orders[[#This Row],[Customer ID]],customers!$A$1:$A$1001,customers!$I$1:$I$1001)</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 = 0, "", 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4"/>
        <v>114.42499999999998</v>
      </c>
      <c r="N156" t="str" cm="1">
        <f t="array" ref="N156">_xlfn.IFS(I156 = "Rob", "Robusta", I156 = "Exc", "Excelsa", I156 = "Ara", "Arabica", I156 = "Lib", "Liberica")</f>
        <v>Arabica</v>
      </c>
      <c r="O156" t="str">
        <f t="shared" si="5"/>
        <v>Dark</v>
      </c>
      <c r="P156" t="str">
        <f>_xlfn.XLOOKUP(orders[[#This Row],[Customer ID]],customers!$A$1:$A$1001,customers!$I$1:$I$1001)</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 = 0, "", 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4"/>
        <v>155.24999999999997</v>
      </c>
      <c r="N157" t="str" cm="1">
        <f t="array" ref="N157">_xlfn.IFS(I157 = "Rob", "Robusta", I157 = "Exc", "Excelsa", I157 = "Ara", "Arabica", I157 = "Lib", "Liberica")</f>
        <v>Arabica</v>
      </c>
      <c r="O157" t="str">
        <f t="shared" si="5"/>
        <v>Medium</v>
      </c>
      <c r="P157" t="str">
        <f>_xlfn.XLOOKUP(orders[[#This Row],[Customer ID]],customers!$A$1:$A$1001,customers!$I$1:$I$1001)</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 = 0, "", 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4"/>
        <v>77.624999999999986</v>
      </c>
      <c r="N158" t="str" cm="1">
        <f t="array" ref="N158">_xlfn.IFS(I158 = "Rob", "Robusta", I158 = "Exc", "Excelsa", I158 = "Ara", "Arabica", I158 = "Lib", "Liberica")</f>
        <v>Arabica</v>
      </c>
      <c r="O158" t="str">
        <f t="shared" si="5"/>
        <v>Medium</v>
      </c>
      <c r="P158" t="str">
        <f>_xlfn.XLOOKUP(orders[[#This Row],[Customer ID]],customers!$A$1:$A$1001,customers!$I$1:$I$1001)</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 = 0, "", 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4"/>
        <v>61.754999999999995</v>
      </c>
      <c r="N159" t="str" cm="1">
        <f t="array" ref="N159">_xlfn.IFS(I159 = "Rob", "Robusta", I159 = "Exc", "Excelsa", I159 = "Ara", "Arabica", I159 = "Lib", "Liberica")</f>
        <v>Robusta</v>
      </c>
      <c r="O159" t="str">
        <f t="shared" si="5"/>
        <v>Dark</v>
      </c>
      <c r="P159" t="str">
        <f>_xlfn.XLOOKUP(orders[[#This Row],[Customer ID]],customers!$A$1:$A$1001,customers!$I$1:$I$1001)</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 = 0, "", 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4"/>
        <v>123.50999999999999</v>
      </c>
      <c r="N160" t="str" cm="1">
        <f t="array" ref="N160">_xlfn.IFS(I160 = "Rob", "Robusta", I160 = "Exc", "Excelsa", I160 = "Ara", "Arabica", I160 = "Lib", "Liberica")</f>
        <v>Robusta</v>
      </c>
      <c r="O160" t="str">
        <f t="shared" si="5"/>
        <v>Dark</v>
      </c>
      <c r="P160" t="str">
        <f>_xlfn.XLOOKUP(orders[[#This Row],[Customer ID]],customers!$A$1:$A$1001,customers!$I$1:$I$1001)</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 = 0, "", 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4"/>
        <v>218.73</v>
      </c>
      <c r="N161" t="str" cm="1">
        <f t="array" ref="N161">_xlfn.IFS(I161 = "Rob", "Robusta", I161 = "Exc", "Excelsa", I161 = "Ara", "Arabica", I161 = "Lib", "Liberica")</f>
        <v>Liberica</v>
      </c>
      <c r="O161" t="str">
        <f t="shared" si="5"/>
        <v>Light</v>
      </c>
      <c r="P161" t="str">
        <f>_xlfn.XLOOKUP(orders[[#This Row],[Customer ID]],customers!$A$1:$A$1001,customers!$I$1:$I$1001)</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 = 0, "", 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4"/>
        <v>33</v>
      </c>
      <c r="N162" t="str" cm="1">
        <f t="array" ref="N162">_xlfn.IFS(I162 = "Rob", "Robusta", I162 = "Exc", "Excelsa", I162 = "Ara", "Arabica", I162 = "Lib", "Liberica")</f>
        <v>Excelsa</v>
      </c>
      <c r="O162" t="str">
        <f t="shared" si="5"/>
        <v>Medium</v>
      </c>
      <c r="P162" t="str">
        <f>_xlfn.XLOOKUP(orders[[#This Row],[Customer ID]],customers!$A$1:$A$1001,customers!$I$1:$I$1001)</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 = 0, "", 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4"/>
        <v>23.31</v>
      </c>
      <c r="N163" t="str" cm="1">
        <f t="array" ref="N163">_xlfn.IFS(I163 = "Rob", "Robusta", I163 = "Exc", "Excelsa", I163 = "Ara", "Arabica", I163 = "Lib", "Liberica")</f>
        <v>Arabica</v>
      </c>
      <c r="O163" t="str">
        <f t="shared" si="5"/>
        <v>Light</v>
      </c>
      <c r="P163" t="str">
        <f>_xlfn.XLOOKUP(orders[[#This Row],[Customer ID]],customers!$A$1:$A$1001,customers!$I$1:$I$1001)</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 = 0, "", 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4"/>
        <v>21.87</v>
      </c>
      <c r="N164" t="str" cm="1">
        <f t="array" ref="N164">_xlfn.IFS(I164 = "Rob", "Robusta", I164 = "Exc", "Excelsa", I164 = "Ara", "Arabica", I164 = "Lib", "Liberica")</f>
        <v>Excelsa</v>
      </c>
      <c r="O164" t="str">
        <f t="shared" si="5"/>
        <v>Dark</v>
      </c>
      <c r="P164" t="str">
        <f>_xlfn.XLOOKUP(orders[[#This Row],[Customer ID]],customers!$A$1:$A$1001,customers!$I$1:$I$1001)</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 = 0, "", 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4"/>
        <v>16.11</v>
      </c>
      <c r="N165" t="str" cm="1">
        <f t="array" ref="N165">_xlfn.IFS(I165 = "Rob", "Robusta", I165 = "Exc", "Excelsa", I165 = "Ara", "Arabica", I165 = "Lib", "Liberica")</f>
        <v>Robusta</v>
      </c>
      <c r="O165" t="str">
        <f t="shared" si="5"/>
        <v>Dark</v>
      </c>
      <c r="P165" t="str">
        <f>_xlfn.XLOOKUP(orders[[#This Row],[Customer ID]],customers!$A$1:$A$1001,customers!$I$1:$I$1001)</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 = 0, "", 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4"/>
        <v>29.16</v>
      </c>
      <c r="N166" t="str" cm="1">
        <f t="array" ref="N166">_xlfn.IFS(I166 = "Rob", "Robusta", I166 = "Exc", "Excelsa", I166 = "Ara", "Arabica", I166 = "Lib", "Liberica")</f>
        <v>Excelsa</v>
      </c>
      <c r="O166" t="str">
        <f t="shared" si="5"/>
        <v>Dark</v>
      </c>
      <c r="P166" t="str">
        <f>_xlfn.XLOOKUP(orders[[#This Row],[Customer ID]],customers!$A$1:$A$1001,customers!$I$1:$I$1001)</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 = 0, "", 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4"/>
        <v>53.699999999999996</v>
      </c>
      <c r="N167" t="str" cm="1">
        <f t="array" ref="N167">_xlfn.IFS(I167 = "Rob", "Robusta", I167 = "Exc", "Excelsa", I167 = "Ara", "Arabica", I167 = "Lib", "Liberica")</f>
        <v>Robusta</v>
      </c>
      <c r="O167" t="str">
        <f t="shared" si="5"/>
        <v>Dark</v>
      </c>
      <c r="P167" t="str">
        <f>_xlfn.XLOOKUP(orders[[#This Row],[Customer ID]],customers!$A$1:$A$1001,customers!$I$1:$I$1001)</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 = 0, "", 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4"/>
        <v>26.849999999999994</v>
      </c>
      <c r="N168" t="str" cm="1">
        <f t="array" ref="N168">_xlfn.IFS(I168 = "Rob", "Robusta", I168 = "Exc", "Excelsa", I168 = "Ara", "Arabica", I168 = "Lib", "Liberica")</f>
        <v>Robusta</v>
      </c>
      <c r="O168" t="str">
        <f t="shared" si="5"/>
        <v>Dark</v>
      </c>
      <c r="P168" t="str">
        <f>_xlfn.XLOOKUP(orders[[#This Row],[Customer ID]],customers!$A$1:$A$1001,customers!$I$1:$I$1001)</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 = 0, "", 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4"/>
        <v>41.25</v>
      </c>
      <c r="N169" t="str" cm="1">
        <f t="array" ref="N169">_xlfn.IFS(I169 = "Rob", "Robusta", I169 = "Exc", "Excelsa", I169 = "Ara", "Arabica", I169 = "Lib", "Liberica")</f>
        <v>Excelsa</v>
      </c>
      <c r="O169" t="str">
        <f t="shared" si="5"/>
        <v>Medium</v>
      </c>
      <c r="P169" t="str">
        <f>_xlfn.XLOOKUP(orders[[#This Row],[Customer ID]],customers!$A$1:$A$1001,customers!$I$1:$I$1001)</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 = 0, "", 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4"/>
        <v>40.5</v>
      </c>
      <c r="N170" t="str" cm="1">
        <f t="array" ref="N170">_xlfn.IFS(I170 = "Rob", "Robusta", I170 = "Exc", "Excelsa", I170 = "Ara", "Arabica", I170 = "Lib", "Liberica")</f>
        <v>Arabica</v>
      </c>
      <c r="O170" t="str">
        <f t="shared" si="5"/>
        <v>Medium</v>
      </c>
      <c r="P170" t="str">
        <f>_xlfn.XLOOKUP(orders[[#This Row],[Customer ID]],customers!$A$1:$A$1001,customers!$I$1:$I$1001)</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 = 0, "", 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4"/>
        <v>17.899999999999999</v>
      </c>
      <c r="N171" t="str" cm="1">
        <f t="array" ref="N171">_xlfn.IFS(I171 = "Rob", "Robusta", I171 = "Exc", "Excelsa", I171 = "Ara", "Arabica", I171 = "Lib", "Liberica")</f>
        <v>Robusta</v>
      </c>
      <c r="O171" t="str">
        <f t="shared" si="5"/>
        <v>Dark</v>
      </c>
      <c r="P171" t="str">
        <f>_xlfn.XLOOKUP(orders[[#This Row],[Customer ID]],customers!$A$1:$A$1001,customers!$I$1:$I$1001)</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 = 0, "", 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4"/>
        <v>68.309999999999988</v>
      </c>
      <c r="N172" t="str" cm="1">
        <f t="array" ref="N172">_xlfn.IFS(I172 = "Rob", "Robusta", I172 = "Exc", "Excelsa", I172 = "Ara", "Arabica", I172 = "Lib", "Liberica")</f>
        <v>Excelsa</v>
      </c>
      <c r="O172" t="str">
        <f t="shared" si="5"/>
        <v>Light</v>
      </c>
      <c r="P172" t="str">
        <f>_xlfn.XLOOKUP(orders[[#This Row],[Customer ID]],customers!$A$1:$A$1001,customers!$I$1:$I$1001)</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 = 0, "", 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4"/>
        <v>63.249999999999993</v>
      </c>
      <c r="N173" t="str" cm="1">
        <f t="array" ref="N173">_xlfn.IFS(I173 = "Rob", "Robusta", I173 = "Exc", "Excelsa", I173 = "Ara", "Arabica", I173 = "Lib", "Liberica")</f>
        <v>Excelsa</v>
      </c>
      <c r="O173" t="str">
        <f t="shared" si="5"/>
        <v>Medium</v>
      </c>
      <c r="P173" t="str">
        <f>_xlfn.XLOOKUP(orders[[#This Row],[Customer ID]],customers!$A$1:$A$1001,customers!$I$1:$I$1001)</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 = 0, "", 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4"/>
        <v>21.87</v>
      </c>
      <c r="N174" t="str" cm="1">
        <f t="array" ref="N174">_xlfn.IFS(I174 = "Rob", "Robusta", I174 = "Exc", "Excelsa", I174 = "Ara", "Arabica", I174 = "Lib", "Liberica")</f>
        <v>Excelsa</v>
      </c>
      <c r="O174" t="str">
        <f t="shared" si="5"/>
        <v>Dark</v>
      </c>
      <c r="P174" t="str">
        <f>_xlfn.XLOOKUP(orders[[#This Row],[Customer ID]],customers!$A$1:$A$1001,customers!$I$1:$I$1001)</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 = 0, "", 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4"/>
        <v>91.539999999999992</v>
      </c>
      <c r="N175" t="str" cm="1">
        <f t="array" ref="N175">_xlfn.IFS(I175 = "Rob", "Robusta", I175 = "Exc", "Excelsa", I175 = "Ara", "Arabica", I175 = "Lib", "Liberica")</f>
        <v>Robusta</v>
      </c>
      <c r="O175" t="str">
        <f t="shared" si="5"/>
        <v>Medium</v>
      </c>
      <c r="P175" t="str">
        <f>_xlfn.XLOOKUP(orders[[#This Row],[Customer ID]],customers!$A$1:$A$1001,customers!$I$1:$I$1001)</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 = 0, "", 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4"/>
        <v>204.92999999999995</v>
      </c>
      <c r="N176" t="str" cm="1">
        <f t="array" ref="N176">_xlfn.IFS(I176 = "Rob", "Robusta", I176 = "Exc", "Excelsa", I176 = "Ara", "Arabica", I176 = "Lib", "Liberica")</f>
        <v>Excelsa</v>
      </c>
      <c r="O176" t="str">
        <f t="shared" si="5"/>
        <v>Light</v>
      </c>
      <c r="P176" t="str">
        <f>_xlfn.XLOOKUP(orders[[#This Row],[Customer ID]],customers!$A$1:$A$1001,customers!$I$1:$I$1001)</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 = 0, "", 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4"/>
        <v>63.249999999999993</v>
      </c>
      <c r="N177" t="str" cm="1">
        <f t="array" ref="N177">_xlfn.IFS(I177 = "Rob", "Robusta", I177 = "Exc", "Excelsa", I177 = "Ara", "Arabica", I177 = "Lib", "Liberica")</f>
        <v>Excelsa</v>
      </c>
      <c r="O177" t="str">
        <f t="shared" si="5"/>
        <v>Medium</v>
      </c>
      <c r="P177" t="str">
        <f>_xlfn.XLOOKUP(orders[[#This Row],[Customer ID]],customers!$A$1:$A$1001,customers!$I$1:$I$1001)</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 = 0, "", 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4"/>
        <v>34.154999999999994</v>
      </c>
      <c r="N178" t="str" cm="1">
        <f t="array" ref="N178">_xlfn.IFS(I178 = "Rob", "Robusta", I178 = "Exc", "Excelsa", I178 = "Ara", "Arabica", I178 = "Lib", "Liberica")</f>
        <v>Excelsa</v>
      </c>
      <c r="O178" t="str">
        <f t="shared" si="5"/>
        <v>Light</v>
      </c>
      <c r="P178" t="str">
        <f>_xlfn.XLOOKUP(orders[[#This Row],[Customer ID]],customers!$A$1:$A$1001,customers!$I$1:$I$1001)</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 = 0, "", 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4"/>
        <v>109.93999999999998</v>
      </c>
      <c r="N179" t="str" cm="1">
        <f t="array" ref="N179">_xlfn.IFS(I179 = "Rob", "Robusta", I179 = "Exc", "Excelsa", I179 = "Ara", "Arabica", I179 = "Lib", "Liberica")</f>
        <v>Robusta</v>
      </c>
      <c r="O179" t="str">
        <f t="shared" si="5"/>
        <v>Light</v>
      </c>
      <c r="P179" t="str">
        <f>_xlfn.XLOOKUP(orders[[#This Row],[Customer ID]],customers!$A$1:$A$1001,customers!$I$1:$I$1001)</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 = 0, "", 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4"/>
        <v>25.9</v>
      </c>
      <c r="N180" t="str" cm="1">
        <f t="array" ref="N180">_xlfn.IFS(I180 = "Rob", "Robusta", I180 = "Exc", "Excelsa", I180 = "Ara", "Arabica", I180 = "Lib", "Liberica")</f>
        <v>Arabica</v>
      </c>
      <c r="O180" t="str">
        <f t="shared" si="5"/>
        <v>Light</v>
      </c>
      <c r="P180" t="str">
        <f>_xlfn.XLOOKUP(orders[[#This Row],[Customer ID]],customers!$A$1:$A$1001,customers!$I$1:$I$1001)</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 = 0, "", 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4"/>
        <v>2.9849999999999999</v>
      </c>
      <c r="N181" t="str" cm="1">
        <f t="array" ref="N181">_xlfn.IFS(I181 = "Rob", "Robusta", I181 = "Exc", "Excelsa", I181 = "Ara", "Arabica", I181 = "Lib", "Liberica")</f>
        <v>Arabica</v>
      </c>
      <c r="O181" t="str">
        <f t="shared" si="5"/>
        <v>Dark</v>
      </c>
      <c r="P181" t="str">
        <f>_xlfn.XLOOKUP(orders[[#This Row],[Customer ID]],customers!$A$1:$A$1001,customers!$I$1:$I$1001)</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 = 0, "", 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4"/>
        <v>22.274999999999999</v>
      </c>
      <c r="N182" t="str" cm="1">
        <f t="array" ref="N182">_xlfn.IFS(I182 = "Rob", "Robusta", I182 = "Exc", "Excelsa", I182 = "Ara", "Arabica", I182 = "Lib", "Liberica")</f>
        <v>Excelsa</v>
      </c>
      <c r="O182" t="str">
        <f t="shared" si="5"/>
        <v>Light</v>
      </c>
      <c r="P182" t="str">
        <f>_xlfn.XLOOKUP(orders[[#This Row],[Customer ID]],customers!$A$1:$A$1001,customers!$I$1:$I$1001)</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 = 0, "", 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4"/>
        <v>29.849999999999998</v>
      </c>
      <c r="N183" t="str" cm="1">
        <f t="array" ref="N183">_xlfn.IFS(I183 = "Rob", "Robusta", I183 = "Exc", "Excelsa", I183 = "Ara", "Arabica", I183 = "Lib", "Liberica")</f>
        <v>Arabica</v>
      </c>
      <c r="O183" t="str">
        <f t="shared" si="5"/>
        <v>Dark</v>
      </c>
      <c r="P183" t="str">
        <f>_xlfn.XLOOKUP(orders[[#This Row],[Customer ID]],customers!$A$1:$A$1001,customers!$I$1:$I$1001)</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 = 0, "", 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4"/>
        <v>32.22</v>
      </c>
      <c r="N184" t="str" cm="1">
        <f t="array" ref="N184">_xlfn.IFS(I184 = "Rob", "Robusta", I184 = "Exc", "Excelsa", I184 = "Ara", "Arabica", I184 = "Lib", "Liberica")</f>
        <v>Robusta</v>
      </c>
      <c r="O184" t="str">
        <f t="shared" si="5"/>
        <v>Dark</v>
      </c>
      <c r="P184" t="str">
        <f>_xlfn.XLOOKUP(orders[[#This Row],[Customer ID]],customers!$A$1:$A$1001,customers!$I$1:$I$1001)</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 = 0, "", 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4"/>
        <v>8.25</v>
      </c>
      <c r="N185" t="str" cm="1">
        <f t="array" ref="N185">_xlfn.IFS(I185 = "Rob", "Robusta", I185 = "Exc", "Excelsa", I185 = "Ara", "Arabica", I185 = "Lib", "Liberica")</f>
        <v>Excelsa</v>
      </c>
      <c r="O185" t="str">
        <f t="shared" si="5"/>
        <v>Medium</v>
      </c>
      <c r="P185" t="str">
        <f>_xlfn.XLOOKUP(orders[[#This Row],[Customer ID]],customers!$A$1:$A$1001,customers!$I$1:$I$1001)</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 = 0, "", 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4"/>
        <v>31.08</v>
      </c>
      <c r="N186" t="str" cm="1">
        <f t="array" ref="N186">_xlfn.IFS(I186 = "Rob", "Robusta", I186 = "Exc", "Excelsa", I186 = "Ara", "Arabica", I186 = "Lib", "Liberica")</f>
        <v>Arabica</v>
      </c>
      <c r="O186" t="str">
        <f t="shared" si="5"/>
        <v>Light</v>
      </c>
      <c r="P186" t="str">
        <f>_xlfn.XLOOKUP(orders[[#This Row],[Customer ID]],customers!$A$1:$A$1001,customers!$I$1:$I$1001)</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 = 0, "", 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4"/>
        <v>36.450000000000003</v>
      </c>
      <c r="N187" t="str" cm="1">
        <f t="array" ref="N187">_xlfn.IFS(I187 = "Rob", "Robusta", I187 = "Exc", "Excelsa", I187 = "Ara", "Arabica", I187 = "Lib", "Liberica")</f>
        <v>Excelsa</v>
      </c>
      <c r="O187" t="str">
        <f t="shared" si="5"/>
        <v>Dark</v>
      </c>
      <c r="P187" t="str">
        <f>_xlfn.XLOOKUP(orders[[#This Row],[Customer ID]],customers!$A$1:$A$1001,customers!$I$1:$I$1001)</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 = 0, "", 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4"/>
        <v>68.655000000000001</v>
      </c>
      <c r="N188" t="str" cm="1">
        <f t="array" ref="N188">_xlfn.IFS(I188 = "Rob", "Robusta", I188 = "Exc", "Excelsa", I188 = "Ara", "Arabica", I188 = "Lib", "Liberica")</f>
        <v>Robusta</v>
      </c>
      <c r="O188" t="str">
        <f t="shared" si="5"/>
        <v>Medium</v>
      </c>
      <c r="P188" t="str">
        <f>_xlfn.XLOOKUP(orders[[#This Row],[Customer ID]],customers!$A$1:$A$1001,customers!$I$1:$I$1001)</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 = 0, "", 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4"/>
        <v>43.650000000000006</v>
      </c>
      <c r="N189" t="str" cm="1">
        <f t="array" ref="N189">_xlfn.IFS(I189 = "Rob", "Robusta", I189 = "Exc", "Excelsa", I189 = "Ara", "Arabica", I189 = "Lib", "Liberica")</f>
        <v>Liberica</v>
      </c>
      <c r="O189" t="str">
        <f t="shared" si="5"/>
        <v>Medium</v>
      </c>
      <c r="P189" t="str">
        <f>_xlfn.XLOOKUP(orders[[#This Row],[Customer ID]],customers!$A$1:$A$1001,customers!$I$1:$I$1001)</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 = 0, "", 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4"/>
        <v>4.4550000000000001</v>
      </c>
      <c r="N190" t="str" cm="1">
        <f t="array" ref="N190">_xlfn.IFS(I190 = "Rob", "Robusta", I190 = "Exc", "Excelsa", I190 = "Ara", "Arabica", I190 = "Lib", "Liberica")</f>
        <v>Excelsa</v>
      </c>
      <c r="O190" t="str">
        <f t="shared" si="5"/>
        <v>Light</v>
      </c>
      <c r="P190" t="str">
        <f>_xlfn.XLOOKUP(orders[[#This Row],[Customer ID]],customers!$A$1:$A$1001,customers!$I$1:$I$1001)</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 = 0, "", 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4"/>
        <v>43.650000000000006</v>
      </c>
      <c r="N191" t="str" cm="1">
        <f t="array" ref="N191">_xlfn.IFS(I191 = "Rob", "Robusta", I191 = "Exc", "Excelsa", I191 = "Ara", "Arabica", I191 = "Lib", "Liberica")</f>
        <v>Liberica</v>
      </c>
      <c r="O191" t="str">
        <f t="shared" si="5"/>
        <v>Medium</v>
      </c>
      <c r="P191" t="str">
        <f>_xlfn.XLOOKUP(orders[[#This Row],[Customer ID]],customers!$A$1:$A$1001,customers!$I$1:$I$1001)</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 = 0, "", 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4"/>
        <v>33.464999999999996</v>
      </c>
      <c r="N192" t="str" cm="1">
        <f t="array" ref="N192">_xlfn.IFS(I192 = "Rob", "Robusta", I192 = "Exc", "Excelsa", I192 = "Ara", "Arabica", I192 = "Lib", "Liberica")</f>
        <v>Liberica</v>
      </c>
      <c r="O192" t="str">
        <f t="shared" si="5"/>
        <v>Medium</v>
      </c>
      <c r="P192" t="str">
        <f>_xlfn.XLOOKUP(orders[[#This Row],[Customer ID]],customers!$A$1:$A$1001,customers!$I$1:$I$1001)</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 = 0, "", 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4"/>
        <v>19.424999999999997</v>
      </c>
      <c r="N193" t="str" cm="1">
        <f t="array" ref="N193">_xlfn.IFS(I193 = "Rob", "Robusta", I193 = "Exc", "Excelsa", I193 = "Ara", "Arabica", I193 = "Lib", "Liberica")</f>
        <v>Liberica</v>
      </c>
      <c r="O193" t="str">
        <f t="shared" si="5"/>
        <v>Dark</v>
      </c>
      <c r="P193" t="str">
        <f>_xlfn.XLOOKUP(orders[[#This Row],[Customer ID]],customers!$A$1:$A$1001,customers!$I$1:$I$1001)</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 = 0, "", 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4"/>
        <v>72.900000000000006</v>
      </c>
      <c r="N194" t="str" cm="1">
        <f t="array" ref="N194">_xlfn.IFS(I194 = "Rob", "Robusta", I194 = "Exc", "Excelsa", I194 = "Ara", "Arabica", I194 = "Lib", "Liberica")</f>
        <v>Excelsa</v>
      </c>
      <c r="O194" t="str">
        <f t="shared" si="5"/>
        <v>Dark</v>
      </c>
      <c r="P194" t="str">
        <f>_xlfn.XLOOKUP(orders[[#This Row],[Customer ID]],customers!$A$1:$A$1001,customers!$I$1:$I$1001)</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 = 0, "", 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6">SUM(L195*E195)</f>
        <v>44.55</v>
      </c>
      <c r="N195" t="str" cm="1">
        <f t="array" ref="N195">_xlfn.IFS(I195 = "Rob", "Robusta", I195 = "Exc", "Excelsa", I195 = "Ara", "Arabica", I195 = "Lib", "Liberica")</f>
        <v>Excelsa</v>
      </c>
      <c r="O195" t="str">
        <f t="shared" ref="O195:O258" si="7">IF(J195 = "M", "Medium", IF(J195= "L", "Light",IF( J195 = "D", "Dark")))</f>
        <v>Light</v>
      </c>
      <c r="P195" t="str">
        <f>_xlfn.XLOOKUP(orders[[#This Row],[Customer ID]],customers!$A$1:$A$1001,customers!$I$1:$I$1001)</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 = 0, "", 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6"/>
        <v>36.450000000000003</v>
      </c>
      <c r="N196" t="str" cm="1">
        <f t="array" ref="N196">_xlfn.IFS(I196 = "Rob", "Robusta", I196 = "Exc", "Excelsa", I196 = "Ara", "Arabica", I196 = "Lib", "Liberica")</f>
        <v>Excelsa</v>
      </c>
      <c r="O196" t="str">
        <f t="shared" si="7"/>
        <v>Dark</v>
      </c>
      <c r="P196" t="str">
        <f>_xlfn.XLOOKUP(orders[[#This Row],[Customer ID]],customers!$A$1:$A$1001,customers!$I$1:$I$1001)</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 = 0, "", 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6"/>
        <v>38.849999999999994</v>
      </c>
      <c r="N197" t="str" cm="1">
        <f t="array" ref="N197">_xlfn.IFS(I197 = "Rob", "Robusta", I197 = "Exc", "Excelsa", I197 = "Ara", "Arabica", I197 = "Lib", "Liberica")</f>
        <v>Arabica</v>
      </c>
      <c r="O197" t="str">
        <f t="shared" si="7"/>
        <v>Light</v>
      </c>
      <c r="P197" t="str">
        <f>_xlfn.XLOOKUP(orders[[#This Row],[Customer ID]],customers!$A$1:$A$1001,customers!$I$1:$I$1001)</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 = 0, "", 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6"/>
        <v>53.46</v>
      </c>
      <c r="N198" t="str" cm="1">
        <f t="array" ref="N198">_xlfn.IFS(I198 = "Rob", "Robusta", I198 = "Exc", "Excelsa", I198 = "Ara", "Arabica", I198 = "Lib", "Liberica")</f>
        <v>Excelsa</v>
      </c>
      <c r="O198" t="str">
        <f t="shared" si="7"/>
        <v>Light</v>
      </c>
      <c r="P198" t="str">
        <f>_xlfn.XLOOKUP(orders[[#This Row],[Customer ID]],customers!$A$1:$A$1001,customers!$I$1:$I$1001)</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 = 0, "", 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6"/>
        <v>59.569999999999993</v>
      </c>
      <c r="N199" t="str" cm="1">
        <f t="array" ref="N199">_xlfn.IFS(I199 = "Rob", "Robusta", I199 = "Exc", "Excelsa", I199 = "Ara", "Arabica", I199 = "Lib", "Liberica")</f>
        <v>Liberica</v>
      </c>
      <c r="O199" t="str">
        <f t="shared" si="7"/>
        <v>Dark</v>
      </c>
      <c r="P199" t="str">
        <f>_xlfn.XLOOKUP(orders[[#This Row],[Customer ID]],customers!$A$1:$A$1001,customers!$I$1:$I$1001)</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 = 0, "", 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6"/>
        <v>89.35499999999999</v>
      </c>
      <c r="N200" t="str" cm="1">
        <f t="array" ref="N200">_xlfn.IFS(I200 = "Rob", "Robusta", I200 = "Exc", "Excelsa", I200 = "Ara", "Arabica", I200 = "Lib", "Liberica")</f>
        <v>Liberica</v>
      </c>
      <c r="O200" t="str">
        <f t="shared" si="7"/>
        <v>Dark</v>
      </c>
      <c r="P200" t="str">
        <f>_xlfn.XLOOKUP(orders[[#This Row],[Customer ID]],customers!$A$1:$A$1001,customers!$I$1:$I$1001)</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 = 0, "", 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6"/>
        <v>38.04</v>
      </c>
      <c r="N201" t="str" cm="1">
        <f t="array" ref="N201">_xlfn.IFS(I201 = "Rob", "Robusta", I201 = "Exc", "Excelsa", I201 = "Ara", "Arabica", I201 = "Lib", "Liberica")</f>
        <v>Liberica</v>
      </c>
      <c r="O201" t="str">
        <f t="shared" si="7"/>
        <v>Light</v>
      </c>
      <c r="P201" t="str">
        <f>_xlfn.XLOOKUP(orders[[#This Row],[Customer ID]],customers!$A$1:$A$1001,customers!$I$1:$I$1001)</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 = 0, "", 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6"/>
        <v>41.25</v>
      </c>
      <c r="N202" t="str" cm="1">
        <f t="array" ref="N202">_xlfn.IFS(I202 = "Rob", "Robusta", I202 = "Exc", "Excelsa", I202 = "Ara", "Arabica", I202 = "Lib", "Liberica")</f>
        <v>Excelsa</v>
      </c>
      <c r="O202" t="str">
        <f t="shared" si="7"/>
        <v>Medium</v>
      </c>
      <c r="P202" t="str">
        <f>_xlfn.XLOOKUP(orders[[#This Row],[Customer ID]],customers!$A$1:$A$1001,customers!$I$1:$I$1001)</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 = 0, "", 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6"/>
        <v>57.06</v>
      </c>
      <c r="N203" t="str" cm="1">
        <f t="array" ref="N203">_xlfn.IFS(I203 = "Rob", "Robusta", I203 = "Exc", "Excelsa", I203 = "Ara", "Arabica", I203 = "Lib", "Liberica")</f>
        <v>Liberica</v>
      </c>
      <c r="O203" t="str">
        <f t="shared" si="7"/>
        <v>Light</v>
      </c>
      <c r="P203" t="str">
        <f>_xlfn.XLOOKUP(orders[[#This Row],[Customer ID]],customers!$A$1:$A$1001,customers!$I$1:$I$1001)</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 = 0, "", 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6"/>
        <v>178.70999999999998</v>
      </c>
      <c r="N204" t="str" cm="1">
        <f t="array" ref="N204">_xlfn.IFS(I204 = "Rob", "Robusta", I204 = "Exc", "Excelsa", I204 = "Ara", "Arabica", I204 = "Lib", "Liberica")</f>
        <v>Liberica</v>
      </c>
      <c r="O204" t="str">
        <f t="shared" si="7"/>
        <v>Dark</v>
      </c>
      <c r="P204" t="str">
        <f>_xlfn.XLOOKUP(orders[[#This Row],[Customer ID]],customers!$A$1:$A$1001,customers!$I$1:$I$1001)</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 = 0, "", 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6"/>
        <v>4.7549999999999999</v>
      </c>
      <c r="N205" t="str" cm="1">
        <f t="array" ref="N205">_xlfn.IFS(I205 = "Rob", "Robusta", I205 = "Exc", "Excelsa", I205 = "Ara", "Arabica", I205 = "Lib", "Liberica")</f>
        <v>Liberica</v>
      </c>
      <c r="O205" t="str">
        <f t="shared" si="7"/>
        <v>Light</v>
      </c>
      <c r="P205" t="str">
        <f>_xlfn.XLOOKUP(orders[[#This Row],[Customer ID]],customers!$A$1:$A$1001,customers!$I$1:$I$1001)</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 = 0, "", 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6"/>
        <v>82.5</v>
      </c>
      <c r="N206" t="str" cm="1">
        <f t="array" ref="N206">_xlfn.IFS(I206 = "Rob", "Robusta", I206 = "Exc", "Excelsa", I206 = "Ara", "Arabica", I206 = "Lib", "Liberica")</f>
        <v>Excelsa</v>
      </c>
      <c r="O206" t="str">
        <f t="shared" si="7"/>
        <v>Medium</v>
      </c>
      <c r="P206" t="str">
        <f>_xlfn.XLOOKUP(orders[[#This Row],[Customer ID]],customers!$A$1:$A$1001,customers!$I$1:$I$1001)</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 = 0, "", 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6"/>
        <v>8.0549999999999997</v>
      </c>
      <c r="N207" t="str" cm="1">
        <f t="array" ref="N207">_xlfn.IFS(I207 = "Rob", "Robusta", I207 = "Exc", "Excelsa", I207 = "Ara", "Arabica", I207 = "Lib", "Liberica")</f>
        <v>Robusta</v>
      </c>
      <c r="O207" t="str">
        <f t="shared" si="7"/>
        <v>Dark</v>
      </c>
      <c r="P207" t="str">
        <f>_xlfn.XLOOKUP(orders[[#This Row],[Customer ID]],customers!$A$1:$A$1001,customers!$I$1:$I$1001)</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 = 0, "", 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6"/>
        <v>22.5</v>
      </c>
      <c r="N208" t="str" cm="1">
        <f t="array" ref="N208">_xlfn.IFS(I208 = "Rob", "Robusta", I208 = "Exc", "Excelsa", I208 = "Ara", "Arabica", I208 = "Lib", "Liberica")</f>
        <v>Arabica</v>
      </c>
      <c r="O208" t="str">
        <f t="shared" si="7"/>
        <v>Medium</v>
      </c>
      <c r="P208" t="str">
        <f>_xlfn.XLOOKUP(orders[[#This Row],[Customer ID]],customers!$A$1:$A$1001,customers!$I$1:$I$1001)</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 = 0, "", 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6"/>
        <v>40.5</v>
      </c>
      <c r="N209" t="str" cm="1">
        <f t="array" ref="N209">_xlfn.IFS(I209 = "Rob", "Robusta", I209 = "Exc", "Excelsa", I209 = "Ara", "Arabica", I209 = "Lib", "Liberica")</f>
        <v>Arabica</v>
      </c>
      <c r="O209" t="str">
        <f t="shared" si="7"/>
        <v>Medium</v>
      </c>
      <c r="P209" t="str">
        <f>_xlfn.XLOOKUP(orders[[#This Row],[Customer ID]],customers!$A$1:$A$1001,customers!$I$1:$I$1001)</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 = 0, "", 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6"/>
        <v>29.16</v>
      </c>
      <c r="N210" t="str" cm="1">
        <f t="array" ref="N210">_xlfn.IFS(I210 = "Rob", "Robusta", I210 = "Exc", "Excelsa", I210 = "Ara", "Arabica", I210 = "Lib", "Liberica")</f>
        <v>Excelsa</v>
      </c>
      <c r="O210" t="str">
        <f t="shared" si="7"/>
        <v>Dark</v>
      </c>
      <c r="P210" t="str">
        <f>_xlfn.XLOOKUP(orders[[#This Row],[Customer ID]],customers!$A$1:$A$1001,customers!$I$1:$I$1001)</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 = 0, "", 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6"/>
        <v>6.75</v>
      </c>
      <c r="N211" t="str" cm="1">
        <f t="array" ref="N211">_xlfn.IFS(I211 = "Rob", "Robusta", I211 = "Exc", "Excelsa", I211 = "Ara", "Arabica", I211 = "Lib", "Liberica")</f>
        <v>Arabica</v>
      </c>
      <c r="O211" t="str">
        <f t="shared" si="7"/>
        <v>Medium</v>
      </c>
      <c r="P211" t="str">
        <f>_xlfn.XLOOKUP(orders[[#This Row],[Customer ID]],customers!$A$1:$A$1001,customers!$I$1:$I$1001)</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 = 0, "", 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6"/>
        <v>51.8</v>
      </c>
      <c r="N212" t="str" cm="1">
        <f t="array" ref="N212">_xlfn.IFS(I212 = "Rob", "Robusta", I212 = "Exc", "Excelsa", I212 = "Ara", "Arabica", I212 = "Lib", "Liberica")</f>
        <v>Liberica</v>
      </c>
      <c r="O212" t="str">
        <f t="shared" si="7"/>
        <v>Dark</v>
      </c>
      <c r="P212" t="str">
        <f>_xlfn.XLOOKUP(orders[[#This Row],[Customer ID]],customers!$A$1:$A$1001,customers!$I$1:$I$1001)</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 = 0, "", 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6"/>
        <v>53.46</v>
      </c>
      <c r="N213" t="str" cm="1">
        <f t="array" ref="N213">_xlfn.IFS(I213 = "Rob", "Robusta", I213 = "Exc", "Excelsa", I213 = "Ara", "Arabica", I213 = "Lib", "Liberica")</f>
        <v>Excelsa</v>
      </c>
      <c r="O213" t="str">
        <f t="shared" si="7"/>
        <v>Light</v>
      </c>
      <c r="P213" t="str">
        <f>_xlfn.XLOOKUP(orders[[#This Row],[Customer ID]],customers!$A$1:$A$1001,customers!$I$1:$I$1001)</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 = 0, "", 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6"/>
        <v>14.58</v>
      </c>
      <c r="N214" t="str" cm="1">
        <f t="array" ref="N214">_xlfn.IFS(I214 = "Rob", "Robusta", I214 = "Exc", "Excelsa", I214 = "Ara", "Arabica", I214 = "Lib", "Liberica")</f>
        <v>Excelsa</v>
      </c>
      <c r="O214" t="str">
        <f t="shared" si="7"/>
        <v>Dark</v>
      </c>
      <c r="P214" t="str">
        <f>_xlfn.XLOOKUP(orders[[#This Row],[Customer ID]],customers!$A$1:$A$1001,customers!$I$1:$I$1001)</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 = 0, "", 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6"/>
        <v>20.584999999999997</v>
      </c>
      <c r="N215" t="str" cm="1">
        <f t="array" ref="N215">_xlfn.IFS(I215 = "Rob", "Robusta", I215 = "Exc", "Excelsa", I215 = "Ara", "Arabica", I215 = "Lib", "Liberica")</f>
        <v>Robusta</v>
      </c>
      <c r="O215" t="str">
        <f t="shared" si="7"/>
        <v>Dark</v>
      </c>
      <c r="P215" t="str">
        <f>_xlfn.XLOOKUP(orders[[#This Row],[Customer ID]],customers!$A$1:$A$1001,customers!$I$1:$I$1001)</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 = 0, "", 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6"/>
        <v>31.7</v>
      </c>
      <c r="N216" t="str" cm="1">
        <f t="array" ref="N216">_xlfn.IFS(I216 = "Rob", "Robusta", I216 = "Exc", "Excelsa", I216 = "Ara", "Arabica", I216 = "Lib", "Liberica")</f>
        <v>Liberica</v>
      </c>
      <c r="O216" t="str">
        <f t="shared" si="7"/>
        <v>Light</v>
      </c>
      <c r="P216" t="str">
        <f>_xlfn.XLOOKUP(orders[[#This Row],[Customer ID]],customers!$A$1:$A$1001,customers!$I$1:$I$1001)</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 = 0, "", 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6"/>
        <v>23.31</v>
      </c>
      <c r="N217" t="str" cm="1">
        <f t="array" ref="N217">_xlfn.IFS(I217 = "Rob", "Robusta", I217 = "Exc", "Excelsa", I217 = "Ara", "Arabica", I217 = "Lib", "Liberica")</f>
        <v>Liberica</v>
      </c>
      <c r="O217" t="str">
        <f t="shared" si="7"/>
        <v>Dark</v>
      </c>
      <c r="P217" t="str">
        <f>_xlfn.XLOOKUP(orders[[#This Row],[Customer ID]],customers!$A$1:$A$1001,customers!$I$1:$I$1001)</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 = 0, "", 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6"/>
        <v>58.2</v>
      </c>
      <c r="N218" t="str" cm="1">
        <f t="array" ref="N218">_xlfn.IFS(I218 = "Rob", "Robusta", I218 = "Exc", "Excelsa", I218 = "Ara", "Arabica", I218 = "Lib", "Liberica")</f>
        <v>Liberica</v>
      </c>
      <c r="O218" t="str">
        <f t="shared" si="7"/>
        <v>Medium</v>
      </c>
      <c r="P218" t="str">
        <f>_xlfn.XLOOKUP(orders[[#This Row],[Customer ID]],customers!$A$1:$A$1001,customers!$I$1:$I$1001)</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 = 0, "", 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6"/>
        <v>35.64</v>
      </c>
      <c r="N219" t="str" cm="1">
        <f t="array" ref="N219">_xlfn.IFS(I219 = "Rob", "Robusta", I219 = "Exc", "Excelsa", I219 = "Ara", "Arabica", I219 = "Lib", "Liberica")</f>
        <v>Excelsa</v>
      </c>
      <c r="O219" t="str">
        <f t="shared" si="7"/>
        <v>Light</v>
      </c>
      <c r="P219" t="str">
        <f>_xlfn.XLOOKUP(orders[[#This Row],[Customer ID]],customers!$A$1:$A$1001,customers!$I$1:$I$1001)</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 = 0, "", 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6"/>
        <v>56.25</v>
      </c>
      <c r="N220" t="str" cm="1">
        <f t="array" ref="N220">_xlfn.IFS(I220 = "Rob", "Robusta", I220 = "Exc", "Excelsa", I220 = "Ara", "Arabica", I220 = "Lib", "Liberica")</f>
        <v>Arabica</v>
      </c>
      <c r="O220" t="str">
        <f t="shared" si="7"/>
        <v>Medium</v>
      </c>
      <c r="P220" t="str">
        <f>_xlfn.XLOOKUP(orders[[#This Row],[Customer ID]],customers!$A$1:$A$1001,customers!$I$1:$I$1001)</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 = 0, "", 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6"/>
        <v>10.754999999999999</v>
      </c>
      <c r="N221" t="str" cm="1">
        <f t="array" ref="N221">_xlfn.IFS(I221 = "Rob", "Robusta", I221 = "Exc", "Excelsa", I221 = "Ara", "Arabica", I221 = "Lib", "Liberica")</f>
        <v>Robusta</v>
      </c>
      <c r="O221" t="str">
        <f t="shared" si="7"/>
        <v>Light</v>
      </c>
      <c r="P221" t="str">
        <f>_xlfn.XLOOKUP(orders[[#This Row],[Customer ID]],customers!$A$1:$A$1001,customers!$I$1:$I$1001)</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 = 0, "", 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6"/>
        <v>14.924999999999999</v>
      </c>
      <c r="N222" t="str" cm="1">
        <f t="array" ref="N222">_xlfn.IFS(I222 = "Rob", "Robusta", I222 = "Exc", "Excelsa", I222 = "Ara", "Arabica", I222 = "Lib", "Liberica")</f>
        <v>Robusta</v>
      </c>
      <c r="O222" t="str">
        <f t="shared" si="7"/>
        <v>Medium</v>
      </c>
      <c r="P222" t="str">
        <f>_xlfn.XLOOKUP(orders[[#This Row],[Customer ID]],customers!$A$1:$A$1001,customers!$I$1:$I$1001)</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 = 0, "", 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6"/>
        <v>77.699999999999989</v>
      </c>
      <c r="N223" t="str" cm="1">
        <f t="array" ref="N223">_xlfn.IFS(I223 = "Rob", "Robusta", I223 = "Exc", "Excelsa", I223 = "Ara", "Arabica", I223 = "Lib", "Liberica")</f>
        <v>Arabica</v>
      </c>
      <c r="O223" t="str">
        <f t="shared" si="7"/>
        <v>Light</v>
      </c>
      <c r="P223" t="str">
        <f>_xlfn.XLOOKUP(orders[[#This Row],[Customer ID]],customers!$A$1:$A$1001,customers!$I$1:$I$1001)</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 = 0, "", 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6"/>
        <v>23.31</v>
      </c>
      <c r="N224" t="str" cm="1">
        <f t="array" ref="N224">_xlfn.IFS(I224 = "Rob", "Robusta", I224 = "Exc", "Excelsa", I224 = "Ara", "Arabica", I224 = "Lib", "Liberica")</f>
        <v>Liberica</v>
      </c>
      <c r="O224" t="str">
        <f t="shared" si="7"/>
        <v>Dark</v>
      </c>
      <c r="P224" t="str">
        <f>_xlfn.XLOOKUP(orders[[#This Row],[Customer ID]],customers!$A$1:$A$1001,customers!$I$1:$I$1001)</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 = 0, "", 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6"/>
        <v>59.4</v>
      </c>
      <c r="N225" t="str" cm="1">
        <f t="array" ref="N225">_xlfn.IFS(I225 = "Rob", "Robusta", I225 = "Exc", "Excelsa", I225 = "Ara", "Arabica", I225 = "Lib", "Liberica")</f>
        <v>Excelsa</v>
      </c>
      <c r="O225" t="str">
        <f t="shared" si="7"/>
        <v>Light</v>
      </c>
      <c r="P225" t="str">
        <f>_xlfn.XLOOKUP(orders[[#This Row],[Customer ID]],customers!$A$1:$A$1001,customers!$I$1:$I$1001)</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 = 0, "", 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6"/>
        <v>119.13999999999999</v>
      </c>
      <c r="N226" t="str" cm="1">
        <f t="array" ref="N226">_xlfn.IFS(I226 = "Rob", "Robusta", I226 = "Exc", "Excelsa", I226 = "Ara", "Arabica", I226 = "Lib", "Liberica")</f>
        <v>Liberica</v>
      </c>
      <c r="O226" t="str">
        <f t="shared" si="7"/>
        <v>Dark</v>
      </c>
      <c r="P226" t="str">
        <f>_xlfn.XLOOKUP(orders[[#This Row],[Customer ID]],customers!$A$1:$A$1001,customers!$I$1:$I$1001)</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 = 0, "", 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6"/>
        <v>14.339999999999998</v>
      </c>
      <c r="N227" t="str" cm="1">
        <f t="array" ref="N227">_xlfn.IFS(I227 = "Rob", "Robusta", I227 = "Exc", "Excelsa", I227 = "Ara", "Arabica", I227 = "Lib", "Liberica")</f>
        <v>Robusta</v>
      </c>
      <c r="O227" t="str">
        <f t="shared" si="7"/>
        <v>Light</v>
      </c>
      <c r="P227" t="str">
        <f>_xlfn.XLOOKUP(orders[[#This Row],[Customer ID]],customers!$A$1:$A$1001,customers!$I$1:$I$1001)</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 = 0, "", 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6"/>
        <v>129.37499999999997</v>
      </c>
      <c r="N228" t="str" cm="1">
        <f t="array" ref="N228">_xlfn.IFS(I228 = "Rob", "Robusta", I228 = "Exc", "Excelsa", I228 = "Ara", "Arabica", I228 = "Lib", "Liberica")</f>
        <v>Arabica</v>
      </c>
      <c r="O228" t="str">
        <f t="shared" si="7"/>
        <v>Medium</v>
      </c>
      <c r="P228" t="str">
        <f>_xlfn.XLOOKUP(orders[[#This Row],[Customer ID]],customers!$A$1:$A$1001,customers!$I$1:$I$1001)</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 = 0, "", 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6"/>
        <v>16.11</v>
      </c>
      <c r="N229" t="str" cm="1">
        <f t="array" ref="N229">_xlfn.IFS(I229 = "Rob", "Robusta", I229 = "Exc", "Excelsa", I229 = "Ara", "Arabica", I229 = "Lib", "Liberica")</f>
        <v>Robusta</v>
      </c>
      <c r="O229" t="str">
        <f t="shared" si="7"/>
        <v>Dark</v>
      </c>
      <c r="P229" t="str">
        <f>_xlfn.XLOOKUP(orders[[#This Row],[Customer ID]],customers!$A$1:$A$1001,customers!$I$1:$I$1001)</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 = 0, "", 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6"/>
        <v>17.924999999999997</v>
      </c>
      <c r="N230" t="str" cm="1">
        <f t="array" ref="N230">_xlfn.IFS(I230 = "Rob", "Robusta", I230 = "Exc", "Excelsa", I230 = "Ara", "Arabica", I230 = "Lib", "Liberica")</f>
        <v>Robusta</v>
      </c>
      <c r="O230" t="str">
        <f t="shared" si="7"/>
        <v>Light</v>
      </c>
      <c r="P230" t="str">
        <f>_xlfn.XLOOKUP(orders[[#This Row],[Customer ID]],customers!$A$1:$A$1001,customers!$I$1:$I$1001)</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 = 0, "", 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6"/>
        <v>8.73</v>
      </c>
      <c r="N231" t="str" cm="1">
        <f t="array" ref="N231">_xlfn.IFS(I231 = "Rob", "Robusta", I231 = "Exc", "Excelsa", I231 = "Ara", "Arabica", I231 = "Lib", "Liberica")</f>
        <v>Liberica</v>
      </c>
      <c r="O231" t="str">
        <f t="shared" si="7"/>
        <v>Medium</v>
      </c>
      <c r="P231" t="str">
        <f>_xlfn.XLOOKUP(orders[[#This Row],[Customer ID]],customers!$A$1:$A$1001,customers!$I$1:$I$1001)</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 = 0, "", 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6"/>
        <v>51.749999999999993</v>
      </c>
      <c r="N232" t="str" cm="1">
        <f t="array" ref="N232">_xlfn.IFS(I232 = "Rob", "Robusta", I232 = "Exc", "Excelsa", I232 = "Ara", "Arabica", I232 = "Lib", "Liberica")</f>
        <v>Arabica</v>
      </c>
      <c r="O232" t="str">
        <f t="shared" si="7"/>
        <v>Medium</v>
      </c>
      <c r="P232" t="str">
        <f>_xlfn.XLOOKUP(orders[[#This Row],[Customer ID]],customers!$A$1:$A$1001,customers!$I$1:$I$1001)</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 = 0, "", 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6"/>
        <v>8.73</v>
      </c>
      <c r="N233" t="str" cm="1">
        <f t="array" ref="N233">_xlfn.IFS(I233 = "Rob", "Robusta", I233 = "Exc", "Excelsa", I233 = "Ara", "Arabica", I233 = "Lib", "Liberica")</f>
        <v>Liberica</v>
      </c>
      <c r="O233" t="str">
        <f t="shared" si="7"/>
        <v>Medium</v>
      </c>
      <c r="P233" t="str">
        <f>_xlfn.XLOOKUP(orders[[#This Row],[Customer ID]],customers!$A$1:$A$1001,customers!$I$1:$I$1001)</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 = 0, "", 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6"/>
        <v>23.774999999999999</v>
      </c>
      <c r="N234" t="str" cm="1">
        <f t="array" ref="N234">_xlfn.IFS(I234 = "Rob", "Robusta", I234 = "Exc", "Excelsa", I234 = "Ara", "Arabica", I234 = "Lib", "Liberica")</f>
        <v>Liberica</v>
      </c>
      <c r="O234" t="str">
        <f t="shared" si="7"/>
        <v>Light</v>
      </c>
      <c r="P234" t="str">
        <f>_xlfn.XLOOKUP(orders[[#This Row],[Customer ID]],customers!$A$1:$A$1001,customers!$I$1:$I$1001)</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 = 0, "", 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6"/>
        <v>20.625</v>
      </c>
      <c r="N235" t="str" cm="1">
        <f t="array" ref="N235">_xlfn.IFS(I235 = "Rob", "Robusta", I235 = "Exc", "Excelsa", I235 = "Ara", "Arabica", I235 = "Lib", "Liberica")</f>
        <v>Excelsa</v>
      </c>
      <c r="O235" t="str">
        <f t="shared" si="7"/>
        <v>Medium</v>
      </c>
      <c r="P235" t="str">
        <f>_xlfn.XLOOKUP(orders[[#This Row],[Customer ID]],customers!$A$1:$A$1001,customers!$I$1:$I$1001)</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 = 0, "", 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6"/>
        <v>36.454999999999998</v>
      </c>
      <c r="N236" t="str" cm="1">
        <f t="array" ref="N236">_xlfn.IFS(I236 = "Rob", "Robusta", I236 = "Exc", "Excelsa", I236 = "Ara", "Arabica", I236 = "Lib", "Liberica")</f>
        <v>Liberica</v>
      </c>
      <c r="O236" t="str">
        <f t="shared" si="7"/>
        <v>Light</v>
      </c>
      <c r="P236" t="str">
        <f>_xlfn.XLOOKUP(orders[[#This Row],[Customer ID]],customers!$A$1:$A$1001,customers!$I$1:$I$1001)</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 = 0, "", 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6"/>
        <v>182.27499999999998</v>
      </c>
      <c r="N237" t="str" cm="1">
        <f t="array" ref="N237">_xlfn.IFS(I237 = "Rob", "Robusta", I237 = "Exc", "Excelsa", I237 = "Ara", "Arabica", I237 = "Lib", "Liberica")</f>
        <v>Liberica</v>
      </c>
      <c r="O237" t="str">
        <f t="shared" si="7"/>
        <v>Light</v>
      </c>
      <c r="P237" t="str">
        <f>_xlfn.XLOOKUP(orders[[#This Row],[Customer ID]],customers!$A$1:$A$1001,customers!$I$1:$I$1001)</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 = 0, "", 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6"/>
        <v>89.35499999999999</v>
      </c>
      <c r="N238" t="str" cm="1">
        <f t="array" ref="N238">_xlfn.IFS(I238 = "Rob", "Robusta", I238 = "Exc", "Excelsa", I238 = "Ara", "Arabica", I238 = "Lib", "Liberica")</f>
        <v>Liberica</v>
      </c>
      <c r="O238" t="str">
        <f t="shared" si="7"/>
        <v>Dark</v>
      </c>
      <c r="P238" t="str">
        <f>_xlfn.XLOOKUP(orders[[#This Row],[Customer ID]],customers!$A$1:$A$1001,customers!$I$1:$I$1001)</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 = 0, "", 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6"/>
        <v>3.5849999999999995</v>
      </c>
      <c r="N239" t="str" cm="1">
        <f t="array" ref="N239">_xlfn.IFS(I239 = "Rob", "Robusta", I239 = "Exc", "Excelsa", I239 = "Ara", "Arabica", I239 = "Lib", "Liberica")</f>
        <v>Robusta</v>
      </c>
      <c r="O239" t="str">
        <f t="shared" si="7"/>
        <v>Light</v>
      </c>
      <c r="P239" t="str">
        <f>_xlfn.XLOOKUP(orders[[#This Row],[Customer ID]],customers!$A$1:$A$1001,customers!$I$1:$I$1001)</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 = 0, "", 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6"/>
        <v>45.769999999999996</v>
      </c>
      <c r="N240" t="str" cm="1">
        <f t="array" ref="N240">_xlfn.IFS(I240 = "Rob", "Robusta", I240 = "Exc", "Excelsa", I240 = "Ara", "Arabica", I240 = "Lib", "Liberica")</f>
        <v>Robusta</v>
      </c>
      <c r="O240" t="str">
        <f t="shared" si="7"/>
        <v>Medium</v>
      </c>
      <c r="P240" t="str">
        <f>_xlfn.XLOOKUP(orders[[#This Row],[Customer ID]],customers!$A$1:$A$1001,customers!$I$1:$I$1001)</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 = 0, "", 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6"/>
        <v>59.4</v>
      </c>
      <c r="N241" t="str" cm="1">
        <f t="array" ref="N241">_xlfn.IFS(I241 = "Rob", "Robusta", I241 = "Exc", "Excelsa", I241 = "Ara", "Arabica", I241 = "Lib", "Liberica")</f>
        <v>Excelsa</v>
      </c>
      <c r="O241" t="str">
        <f t="shared" si="7"/>
        <v>Light</v>
      </c>
      <c r="P241" t="str">
        <f>_xlfn.XLOOKUP(orders[[#This Row],[Customer ID]],customers!$A$1:$A$1001,customers!$I$1:$I$1001)</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 = 0, "", 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6"/>
        <v>155.24999999999997</v>
      </c>
      <c r="N242" t="str" cm="1">
        <f t="array" ref="N242">_xlfn.IFS(I242 = "Rob", "Robusta", I242 = "Exc", "Excelsa", I242 = "Ara", "Arabica", I242 = "Lib", "Liberica")</f>
        <v>Arabica</v>
      </c>
      <c r="O242" t="str">
        <f t="shared" si="7"/>
        <v>Medium</v>
      </c>
      <c r="P242" t="str">
        <f>_xlfn.XLOOKUP(orders[[#This Row],[Customer ID]],customers!$A$1:$A$1001,customers!$I$1:$I$1001)</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 = 0, "", 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6"/>
        <v>45.769999999999996</v>
      </c>
      <c r="N243" t="str" cm="1">
        <f t="array" ref="N243">_xlfn.IFS(I243 = "Rob", "Robusta", I243 = "Exc", "Excelsa", I243 = "Ara", "Arabica", I243 = "Lib", "Liberica")</f>
        <v>Robusta</v>
      </c>
      <c r="O243" t="str">
        <f t="shared" si="7"/>
        <v>Medium</v>
      </c>
      <c r="P243" t="str">
        <f>_xlfn.XLOOKUP(orders[[#This Row],[Customer ID]],customers!$A$1:$A$1001,customers!$I$1:$I$1001)</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 = 0, "", 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6"/>
        <v>36.450000000000003</v>
      </c>
      <c r="N244" t="str" cm="1">
        <f t="array" ref="N244">_xlfn.IFS(I244 = "Rob", "Robusta", I244 = "Exc", "Excelsa", I244 = "Ara", "Arabica", I244 = "Lib", "Liberica")</f>
        <v>Excelsa</v>
      </c>
      <c r="O244" t="str">
        <f t="shared" si="7"/>
        <v>Dark</v>
      </c>
      <c r="P244" t="str">
        <f>_xlfn.XLOOKUP(orders[[#This Row],[Customer ID]],customers!$A$1:$A$1001,customers!$I$1:$I$1001)</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 = 0, "", 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6"/>
        <v>29.16</v>
      </c>
      <c r="N245" t="str" cm="1">
        <f t="array" ref="N245">_xlfn.IFS(I245 = "Rob", "Robusta", I245 = "Exc", "Excelsa", I245 = "Ara", "Arabica", I245 = "Lib", "Liberica")</f>
        <v>Excelsa</v>
      </c>
      <c r="O245" t="str">
        <f t="shared" si="7"/>
        <v>Dark</v>
      </c>
      <c r="P245" t="str">
        <f>_xlfn.XLOOKUP(orders[[#This Row],[Customer ID]],customers!$A$1:$A$1001,customers!$I$1:$I$1001)</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 = 0, "", 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6"/>
        <v>133.85999999999999</v>
      </c>
      <c r="N246" t="str" cm="1">
        <f t="array" ref="N246">_xlfn.IFS(I246 = "Rob", "Robusta", I246 = "Exc", "Excelsa", I246 = "Ara", "Arabica", I246 = "Lib", "Liberica")</f>
        <v>Liberica</v>
      </c>
      <c r="O246" t="str">
        <f t="shared" si="7"/>
        <v>Medium</v>
      </c>
      <c r="P246" t="str">
        <f>_xlfn.XLOOKUP(orders[[#This Row],[Customer ID]],customers!$A$1:$A$1001,customers!$I$1:$I$1001)</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 = 0, "", 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6"/>
        <v>23.774999999999999</v>
      </c>
      <c r="N247" t="str" cm="1">
        <f t="array" ref="N247">_xlfn.IFS(I247 = "Rob", "Robusta", I247 = "Exc", "Excelsa", I247 = "Ara", "Arabica", I247 = "Lib", "Liberica")</f>
        <v>Liberica</v>
      </c>
      <c r="O247" t="str">
        <f t="shared" si="7"/>
        <v>Light</v>
      </c>
      <c r="P247" t="str">
        <f>_xlfn.XLOOKUP(orders[[#This Row],[Customer ID]],customers!$A$1:$A$1001,customers!$I$1:$I$1001)</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 = 0, "", 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6"/>
        <v>38.849999999999994</v>
      </c>
      <c r="N248" t="str" cm="1">
        <f t="array" ref="N248">_xlfn.IFS(I248 = "Rob", "Robusta", I248 = "Exc", "Excelsa", I248 = "Ara", "Arabica", I248 = "Lib", "Liberica")</f>
        <v>Liberica</v>
      </c>
      <c r="O248" t="str">
        <f t="shared" si="7"/>
        <v>Dark</v>
      </c>
      <c r="P248" t="str">
        <f>_xlfn.XLOOKUP(orders[[#This Row],[Customer ID]],customers!$A$1:$A$1001,customers!$I$1:$I$1001)</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 = 0, "", 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6"/>
        <v>21.509999999999998</v>
      </c>
      <c r="N249" t="str" cm="1">
        <f t="array" ref="N249">_xlfn.IFS(I249 = "Rob", "Robusta", I249 = "Exc", "Excelsa", I249 = "Ara", "Arabica", I249 = "Lib", "Liberica")</f>
        <v>Robusta</v>
      </c>
      <c r="O249" t="str">
        <f t="shared" si="7"/>
        <v>Light</v>
      </c>
      <c r="P249" t="str">
        <f>_xlfn.XLOOKUP(orders[[#This Row],[Customer ID]],customers!$A$1:$A$1001,customers!$I$1:$I$1001)</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 = 0, "", 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6"/>
        <v>9.9499999999999993</v>
      </c>
      <c r="N250" t="str" cm="1">
        <f t="array" ref="N250">_xlfn.IFS(I250 = "Rob", "Robusta", I250 = "Exc", "Excelsa", I250 = "Ara", "Arabica", I250 = "Lib", "Liberica")</f>
        <v>Arabica</v>
      </c>
      <c r="O250" t="str">
        <f t="shared" si="7"/>
        <v>Dark</v>
      </c>
      <c r="P250" t="str">
        <f>_xlfn.XLOOKUP(orders[[#This Row],[Customer ID]],customers!$A$1:$A$1001,customers!$I$1:$I$1001)</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 = 0, "", 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6"/>
        <v>15.85</v>
      </c>
      <c r="N251" t="str" cm="1">
        <f t="array" ref="N251">_xlfn.IFS(I251 = "Rob", "Robusta", I251 = "Exc", "Excelsa", I251 = "Ara", "Arabica", I251 = "Lib", "Liberica")</f>
        <v>Liberica</v>
      </c>
      <c r="O251" t="str">
        <f t="shared" si="7"/>
        <v>Light</v>
      </c>
      <c r="P251" t="str">
        <f>_xlfn.XLOOKUP(orders[[#This Row],[Customer ID]],customers!$A$1:$A$1001,customers!$I$1:$I$1001)</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 = 0, "", 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6"/>
        <v>2.9849999999999999</v>
      </c>
      <c r="N252" t="str" cm="1">
        <f t="array" ref="N252">_xlfn.IFS(I252 = "Rob", "Robusta", I252 = "Exc", "Excelsa", I252 = "Ara", "Arabica", I252 = "Lib", "Liberica")</f>
        <v>Robusta</v>
      </c>
      <c r="O252" t="str">
        <f t="shared" si="7"/>
        <v>Medium</v>
      </c>
      <c r="P252" t="str">
        <f>_xlfn.XLOOKUP(orders[[#This Row],[Customer ID]],customers!$A$1:$A$1001,customers!$I$1:$I$1001)</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 = 0, "", 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6"/>
        <v>68.75</v>
      </c>
      <c r="N253" t="str" cm="1">
        <f t="array" ref="N253">_xlfn.IFS(I253 = "Rob", "Robusta", I253 = "Exc", "Excelsa", I253 = "Ara", "Arabica", I253 = "Lib", "Liberica")</f>
        <v>Excelsa</v>
      </c>
      <c r="O253" t="str">
        <f t="shared" si="7"/>
        <v>Medium</v>
      </c>
      <c r="P253" t="str">
        <f>_xlfn.XLOOKUP(orders[[#This Row],[Customer ID]],customers!$A$1:$A$1001,customers!$I$1:$I$1001)</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 = 0, "", 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6"/>
        <v>29.849999999999998</v>
      </c>
      <c r="N254" t="str" cm="1">
        <f t="array" ref="N254">_xlfn.IFS(I254 = "Rob", "Robusta", I254 = "Exc", "Excelsa", I254 = "Ara", "Arabica", I254 = "Lib", "Liberica")</f>
        <v>Arabica</v>
      </c>
      <c r="O254" t="str">
        <f t="shared" si="7"/>
        <v>Dark</v>
      </c>
      <c r="P254" t="str">
        <f>_xlfn.XLOOKUP(orders[[#This Row],[Customer ID]],customers!$A$1:$A$1001,customers!$I$1:$I$1001)</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 = 0, "", 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6"/>
        <v>58.2</v>
      </c>
      <c r="N255" t="str" cm="1">
        <f t="array" ref="N255">_xlfn.IFS(I255 = "Rob", "Robusta", I255 = "Exc", "Excelsa", I255 = "Ara", "Arabica", I255 = "Lib", "Liberica")</f>
        <v>Liberica</v>
      </c>
      <c r="O255" t="str">
        <f t="shared" si="7"/>
        <v>Medium</v>
      </c>
      <c r="P255" t="str">
        <f>_xlfn.XLOOKUP(orders[[#This Row],[Customer ID]],customers!$A$1:$A$1001,customers!$I$1:$I$1001)</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 = 0, "", 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6"/>
        <v>28.679999999999996</v>
      </c>
      <c r="N256" t="str" cm="1">
        <f t="array" ref="N256">_xlfn.IFS(I256 = "Rob", "Robusta", I256 = "Exc", "Excelsa", I256 = "Ara", "Arabica", I256 = "Lib", "Liberica")</f>
        <v>Robusta</v>
      </c>
      <c r="O256" t="str">
        <f t="shared" si="7"/>
        <v>Light</v>
      </c>
      <c r="P256" t="str">
        <f>_xlfn.XLOOKUP(orders[[#This Row],[Customer ID]],customers!$A$1:$A$1001,customers!$I$1:$I$1001)</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 = 0, "", 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6"/>
        <v>21.509999999999998</v>
      </c>
      <c r="N257" t="str" cm="1">
        <f t="array" ref="N257">_xlfn.IFS(I257 = "Rob", "Robusta", I257 = "Exc", "Excelsa", I257 = "Ara", "Arabica", I257 = "Lib", "Liberica")</f>
        <v>Robusta</v>
      </c>
      <c r="O257" t="str">
        <f t="shared" si="7"/>
        <v>Light</v>
      </c>
      <c r="P257" t="str">
        <f>_xlfn.XLOOKUP(orders[[#This Row],[Customer ID]],customers!$A$1:$A$1001,customers!$I$1:$I$1001)</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 = 0, "", 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6"/>
        <v>17.46</v>
      </c>
      <c r="N258" t="str" cm="1">
        <f t="array" ref="N258">_xlfn.IFS(I258 = "Rob", "Robusta", I258 = "Exc", "Excelsa", I258 = "Ara", "Arabica", I258 = "Lib", "Liberica")</f>
        <v>Liberica</v>
      </c>
      <c r="O258" t="str">
        <f t="shared" si="7"/>
        <v>Medium</v>
      </c>
      <c r="P258" t="str">
        <f>_xlfn.XLOOKUP(orders[[#This Row],[Customer ID]],customers!$A$1:$A$1001,customers!$I$1:$I$1001)</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 = 0, "", 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8">SUM(L259*E259)</f>
        <v>27.945</v>
      </c>
      <c r="N259" t="str" cm="1">
        <f t="array" ref="N259">_xlfn.IFS(I259 = "Rob", "Robusta", I259 = "Exc", "Excelsa", I259 = "Ara", "Arabica", I259 = "Lib", "Liberica")</f>
        <v>Excelsa</v>
      </c>
      <c r="O259" t="str">
        <f t="shared" ref="O259:O322" si="9">IF(J259 = "M", "Medium", IF(J259= "L", "Light",IF( J259 = "D", "Dark")))</f>
        <v>Dark</v>
      </c>
      <c r="P259" t="str">
        <f>_xlfn.XLOOKUP(orders[[#This Row],[Customer ID]],customers!$A$1:$A$1001,customers!$I$1:$I$1001)</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 = 0, "", 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8"/>
        <v>139.72499999999999</v>
      </c>
      <c r="N260" t="str" cm="1">
        <f t="array" ref="N260">_xlfn.IFS(I260 = "Rob", "Robusta", I260 = "Exc", "Excelsa", I260 = "Ara", "Arabica", I260 = "Lib", "Liberica")</f>
        <v>Excelsa</v>
      </c>
      <c r="O260" t="str">
        <f t="shared" si="9"/>
        <v>Dark</v>
      </c>
      <c r="P260" t="str">
        <f>_xlfn.XLOOKUP(orders[[#This Row],[Customer ID]],customers!$A$1:$A$1001,customers!$I$1:$I$1001)</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 = 0, "", 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8"/>
        <v>5.97</v>
      </c>
      <c r="N261" t="str" cm="1">
        <f t="array" ref="N261">_xlfn.IFS(I261 = "Rob", "Robusta", I261 = "Exc", "Excelsa", I261 = "Ara", "Arabica", I261 = "Lib", "Liberica")</f>
        <v>Robusta</v>
      </c>
      <c r="O261" t="str">
        <f t="shared" si="9"/>
        <v>Medium</v>
      </c>
      <c r="P261" t="str">
        <f>_xlfn.XLOOKUP(orders[[#This Row],[Customer ID]],customers!$A$1:$A$1001,customers!$I$1:$I$1001)</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 = 0, "", 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8"/>
        <v>27.484999999999996</v>
      </c>
      <c r="N262" t="str" cm="1">
        <f t="array" ref="N262">_xlfn.IFS(I262 = "Rob", "Robusta", I262 = "Exc", "Excelsa", I262 = "Ara", "Arabica", I262 = "Lib", "Liberica")</f>
        <v>Robusta</v>
      </c>
      <c r="O262" t="str">
        <f t="shared" si="9"/>
        <v>Light</v>
      </c>
      <c r="P262" t="str">
        <f>_xlfn.XLOOKUP(orders[[#This Row],[Customer ID]],customers!$A$1:$A$1001,customers!$I$1:$I$1001)</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 = 0, "", 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8"/>
        <v>59.75</v>
      </c>
      <c r="N263" t="str" cm="1">
        <f t="array" ref="N263">_xlfn.IFS(I263 = "Rob", "Robusta", I263 = "Exc", "Excelsa", I263 = "Ara", "Arabica", I263 = "Lib", "Liberica")</f>
        <v>Robusta</v>
      </c>
      <c r="O263" t="str">
        <f t="shared" si="9"/>
        <v>Light</v>
      </c>
      <c r="P263" t="str">
        <f>_xlfn.XLOOKUP(orders[[#This Row],[Customer ID]],customers!$A$1:$A$1001,customers!$I$1:$I$1001)</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 = 0, "", 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8"/>
        <v>41.25</v>
      </c>
      <c r="N264" t="str" cm="1">
        <f t="array" ref="N264">_xlfn.IFS(I264 = "Rob", "Robusta", I264 = "Exc", "Excelsa", I264 = "Ara", "Arabica", I264 = "Lib", "Liberica")</f>
        <v>Excelsa</v>
      </c>
      <c r="O264" t="str">
        <f t="shared" si="9"/>
        <v>Medium</v>
      </c>
      <c r="P264" t="str">
        <f>_xlfn.XLOOKUP(orders[[#This Row],[Customer ID]],customers!$A$1:$A$1001,customers!$I$1:$I$1001)</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 = 0, "", 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8"/>
        <v>133.85999999999999</v>
      </c>
      <c r="N265" t="str" cm="1">
        <f t="array" ref="N265">_xlfn.IFS(I265 = "Rob", "Robusta", I265 = "Exc", "Excelsa", I265 = "Ara", "Arabica", I265 = "Lib", "Liberica")</f>
        <v>Liberica</v>
      </c>
      <c r="O265" t="str">
        <f t="shared" si="9"/>
        <v>Medium</v>
      </c>
      <c r="P265" t="str">
        <f>_xlfn.XLOOKUP(orders[[#This Row],[Customer ID]],customers!$A$1:$A$1001,customers!$I$1:$I$1001)</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 = 0, "", 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8"/>
        <v>59.75</v>
      </c>
      <c r="N266" t="str" cm="1">
        <f t="array" ref="N266">_xlfn.IFS(I266 = "Rob", "Robusta", I266 = "Exc", "Excelsa", I266 = "Ara", "Arabica", I266 = "Lib", "Liberica")</f>
        <v>Robusta</v>
      </c>
      <c r="O266" t="str">
        <f t="shared" si="9"/>
        <v>Light</v>
      </c>
      <c r="P266" t="str">
        <f>_xlfn.XLOOKUP(orders[[#This Row],[Customer ID]],customers!$A$1:$A$1001,customers!$I$1:$I$1001)</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 = 0, "", 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8"/>
        <v>5.97</v>
      </c>
      <c r="N267" t="str" cm="1">
        <f t="array" ref="N267">_xlfn.IFS(I267 = "Rob", "Robusta", I267 = "Exc", "Excelsa", I267 = "Ara", "Arabica", I267 = "Lib", "Liberica")</f>
        <v>Arabica</v>
      </c>
      <c r="O267" t="str">
        <f t="shared" si="9"/>
        <v>Dark</v>
      </c>
      <c r="P267" t="str">
        <f>_xlfn.XLOOKUP(orders[[#This Row],[Customer ID]],customers!$A$1:$A$1001,customers!$I$1:$I$1001)</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 = 0, "", 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8"/>
        <v>24.3</v>
      </c>
      <c r="N268" t="str" cm="1">
        <f t="array" ref="N268">_xlfn.IFS(I268 = "Rob", "Robusta", I268 = "Exc", "Excelsa", I268 = "Ara", "Arabica", I268 = "Lib", "Liberica")</f>
        <v>Excelsa</v>
      </c>
      <c r="O268" t="str">
        <f t="shared" si="9"/>
        <v>Dark</v>
      </c>
      <c r="P268" t="str">
        <f>_xlfn.XLOOKUP(orders[[#This Row],[Customer ID]],customers!$A$1:$A$1001,customers!$I$1:$I$1001)</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 = 0, "", 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8"/>
        <v>21.87</v>
      </c>
      <c r="N269" t="str" cm="1">
        <f t="array" ref="N269">_xlfn.IFS(I269 = "Rob", "Robusta", I269 = "Exc", "Excelsa", I269 = "Ara", "Arabica", I269 = "Lib", "Liberica")</f>
        <v>Excelsa</v>
      </c>
      <c r="O269" t="str">
        <f t="shared" si="9"/>
        <v>Dark</v>
      </c>
      <c r="P269" t="str">
        <f>_xlfn.XLOOKUP(orders[[#This Row],[Customer ID]],customers!$A$1:$A$1001,customers!$I$1:$I$1001)</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 = 0, "", 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8"/>
        <v>19.899999999999999</v>
      </c>
      <c r="N270" t="str" cm="1">
        <f t="array" ref="N270">_xlfn.IFS(I270 = "Rob", "Robusta", I270 = "Exc", "Excelsa", I270 = "Ara", "Arabica", I270 = "Lib", "Liberica")</f>
        <v>Arabica</v>
      </c>
      <c r="O270" t="str">
        <f t="shared" si="9"/>
        <v>Dark</v>
      </c>
      <c r="P270" t="str">
        <f>_xlfn.XLOOKUP(orders[[#This Row],[Customer ID]],customers!$A$1:$A$1001,customers!$I$1:$I$1001)</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 = 0, "", 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8"/>
        <v>5.97</v>
      </c>
      <c r="N271" t="str" cm="1">
        <f t="array" ref="N271">_xlfn.IFS(I271 = "Rob", "Robusta", I271 = "Exc", "Excelsa", I271 = "Ara", "Arabica", I271 = "Lib", "Liberica")</f>
        <v>Arabica</v>
      </c>
      <c r="O271" t="str">
        <f t="shared" si="9"/>
        <v>Dark</v>
      </c>
      <c r="P271" t="str">
        <f>_xlfn.XLOOKUP(orders[[#This Row],[Customer ID]],customers!$A$1:$A$1001,customers!$I$1:$I$1001)</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 = 0, "", 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8"/>
        <v>7.29</v>
      </c>
      <c r="N272" t="str" cm="1">
        <f t="array" ref="N272">_xlfn.IFS(I272 = "Rob", "Robusta", I272 = "Exc", "Excelsa", I272 = "Ara", "Arabica", I272 = "Lib", "Liberica")</f>
        <v>Excelsa</v>
      </c>
      <c r="O272" t="str">
        <f t="shared" si="9"/>
        <v>Dark</v>
      </c>
      <c r="P272" t="str">
        <f>_xlfn.XLOOKUP(orders[[#This Row],[Customer ID]],customers!$A$1:$A$1001,customers!$I$1:$I$1001)</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 = 0, "", 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8"/>
        <v>11.94</v>
      </c>
      <c r="N273" t="str" cm="1">
        <f t="array" ref="N273">_xlfn.IFS(I273 = "Rob", "Robusta", I273 = "Exc", "Excelsa", I273 = "Ara", "Arabica", I273 = "Lib", "Liberica")</f>
        <v>Arabica</v>
      </c>
      <c r="O273" t="str">
        <f t="shared" si="9"/>
        <v>Dark</v>
      </c>
      <c r="P273" t="str">
        <f>_xlfn.XLOOKUP(orders[[#This Row],[Customer ID]],customers!$A$1:$A$1001,customers!$I$1:$I$1001)</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 = 0, "", 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8"/>
        <v>71.699999999999989</v>
      </c>
      <c r="N274" t="str" cm="1">
        <f t="array" ref="N274">_xlfn.IFS(I274 = "Rob", "Robusta", I274 = "Exc", "Excelsa", I274 = "Ara", "Arabica", I274 = "Lib", "Liberica")</f>
        <v>Robusta</v>
      </c>
      <c r="O274" t="str">
        <f t="shared" si="9"/>
        <v>Light</v>
      </c>
      <c r="P274" t="str">
        <f>_xlfn.XLOOKUP(orders[[#This Row],[Customer ID]],customers!$A$1:$A$1001,customers!$I$1:$I$1001)</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 = 0, "", 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8"/>
        <v>7.77</v>
      </c>
      <c r="N275" t="str" cm="1">
        <f t="array" ref="N275">_xlfn.IFS(I275 = "Rob", "Robusta", I275 = "Exc", "Excelsa", I275 = "Ara", "Arabica", I275 = "Lib", "Liberica")</f>
        <v>Arabica</v>
      </c>
      <c r="O275" t="str">
        <f t="shared" si="9"/>
        <v>Light</v>
      </c>
      <c r="P275" t="str">
        <f>_xlfn.XLOOKUP(orders[[#This Row],[Customer ID]],customers!$A$1:$A$1001,customers!$I$1:$I$1001)</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 = 0, "", 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8"/>
        <v>25.874999999999996</v>
      </c>
      <c r="N276" t="str" cm="1">
        <f t="array" ref="N276">_xlfn.IFS(I276 = "Rob", "Robusta", I276 = "Exc", "Excelsa", I276 = "Ara", "Arabica", I276 = "Lib", "Liberica")</f>
        <v>Arabica</v>
      </c>
      <c r="O276" t="str">
        <f t="shared" si="9"/>
        <v>Medium</v>
      </c>
      <c r="P276" t="str">
        <f>_xlfn.XLOOKUP(orders[[#This Row],[Customer ID]],customers!$A$1:$A$1001,customers!$I$1:$I$1001)</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 = 0, "", 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8"/>
        <v>204.92999999999995</v>
      </c>
      <c r="N277" t="str" cm="1">
        <f t="array" ref="N277">_xlfn.IFS(I277 = "Rob", "Robusta", I277 = "Exc", "Excelsa", I277 = "Ara", "Arabica", I277 = "Lib", "Liberica")</f>
        <v>Excelsa</v>
      </c>
      <c r="O277" t="str">
        <f t="shared" si="9"/>
        <v>Light</v>
      </c>
      <c r="P277" t="str">
        <f>_xlfn.XLOOKUP(orders[[#This Row],[Customer ID]],customers!$A$1:$A$1001,customers!$I$1:$I$1001)</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 = 0, "", 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8"/>
        <v>109.93999999999998</v>
      </c>
      <c r="N278" t="str" cm="1">
        <f t="array" ref="N278">_xlfn.IFS(I278 = "Rob", "Robusta", I278 = "Exc", "Excelsa", I278 = "Ara", "Arabica", I278 = "Lib", "Liberica")</f>
        <v>Robusta</v>
      </c>
      <c r="O278" t="str">
        <f t="shared" si="9"/>
        <v>Light</v>
      </c>
      <c r="P278" t="str">
        <f>_xlfn.XLOOKUP(orders[[#This Row],[Customer ID]],customers!$A$1:$A$1001,customers!$I$1:$I$1001)</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 = 0, "", 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8"/>
        <v>89.1</v>
      </c>
      <c r="N279" t="str" cm="1">
        <f t="array" ref="N279">_xlfn.IFS(I279 = "Rob", "Robusta", I279 = "Exc", "Excelsa", I279 = "Ara", "Arabica", I279 = "Lib", "Liberica")</f>
        <v>Excelsa</v>
      </c>
      <c r="O279" t="str">
        <f t="shared" si="9"/>
        <v>Light</v>
      </c>
      <c r="P279" t="str">
        <f>_xlfn.XLOOKUP(orders[[#This Row],[Customer ID]],customers!$A$1:$A$1001,customers!$I$1:$I$1001)</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 = 0, "", 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8"/>
        <v>7.77</v>
      </c>
      <c r="N280" t="str" cm="1">
        <f t="array" ref="N280">_xlfn.IFS(I280 = "Rob", "Robusta", I280 = "Exc", "Excelsa", I280 = "Ara", "Arabica", I280 = "Lib", "Liberica")</f>
        <v>Arabica</v>
      </c>
      <c r="O280" t="str">
        <f t="shared" si="9"/>
        <v>Light</v>
      </c>
      <c r="P280" t="str">
        <f>_xlfn.XLOOKUP(orders[[#This Row],[Customer ID]],customers!$A$1:$A$1001,customers!$I$1:$I$1001)</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 = 0, "", 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8"/>
        <v>33.464999999999996</v>
      </c>
      <c r="N281" t="str" cm="1">
        <f t="array" ref="N281">_xlfn.IFS(I281 = "Rob", "Robusta", I281 = "Exc", "Excelsa", I281 = "Ara", "Arabica", I281 = "Lib", "Liberica")</f>
        <v>Liberica</v>
      </c>
      <c r="O281" t="str">
        <f t="shared" si="9"/>
        <v>Medium</v>
      </c>
      <c r="P281" t="str">
        <f>_xlfn.XLOOKUP(orders[[#This Row],[Customer ID]],customers!$A$1:$A$1001,customers!$I$1:$I$1001)</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 = 0, "", 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8"/>
        <v>41.25</v>
      </c>
      <c r="N282" t="str" cm="1">
        <f t="array" ref="N282">_xlfn.IFS(I282 = "Rob", "Robusta", I282 = "Exc", "Excelsa", I282 = "Ara", "Arabica", I282 = "Lib", "Liberica")</f>
        <v>Excelsa</v>
      </c>
      <c r="O282" t="str">
        <f t="shared" si="9"/>
        <v>Medium</v>
      </c>
      <c r="P282" t="str">
        <f>_xlfn.XLOOKUP(orders[[#This Row],[Customer ID]],customers!$A$1:$A$1001,customers!$I$1:$I$1001)</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 = 0, "", 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8"/>
        <v>59.4</v>
      </c>
      <c r="N283" t="str" cm="1">
        <f t="array" ref="N283">_xlfn.IFS(I283 = "Rob", "Robusta", I283 = "Exc", "Excelsa", I283 = "Ara", "Arabica", I283 = "Lib", "Liberica")</f>
        <v>Excelsa</v>
      </c>
      <c r="O283" t="str">
        <f t="shared" si="9"/>
        <v>Light</v>
      </c>
      <c r="P283" t="str">
        <f>_xlfn.XLOOKUP(orders[[#This Row],[Customer ID]],customers!$A$1:$A$1001,customers!$I$1:$I$1001)</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 = 0, "", 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8"/>
        <v>7.77</v>
      </c>
      <c r="N284" t="str" cm="1">
        <f t="array" ref="N284">_xlfn.IFS(I284 = "Rob", "Robusta", I284 = "Exc", "Excelsa", I284 = "Ara", "Arabica", I284 = "Lib", "Liberica")</f>
        <v>Arabica</v>
      </c>
      <c r="O284" t="str">
        <f t="shared" si="9"/>
        <v>Light</v>
      </c>
      <c r="P284" t="str">
        <f>_xlfn.XLOOKUP(orders[[#This Row],[Customer ID]],customers!$A$1:$A$1001,customers!$I$1:$I$1001)</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 = 0, "", 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8"/>
        <v>5.3699999999999992</v>
      </c>
      <c r="N285" t="str" cm="1">
        <f t="array" ref="N285">_xlfn.IFS(I285 = "Rob", "Robusta", I285 = "Exc", "Excelsa", I285 = "Ara", "Arabica", I285 = "Lib", "Liberica")</f>
        <v>Robusta</v>
      </c>
      <c r="O285" t="str">
        <f t="shared" si="9"/>
        <v>Dark</v>
      </c>
      <c r="P285" t="str">
        <f>_xlfn.XLOOKUP(orders[[#This Row],[Customer ID]],customers!$A$1:$A$1001,customers!$I$1:$I$1001)</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 = 0, "", 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8"/>
        <v>94.874999999999986</v>
      </c>
      <c r="N286" t="str" cm="1">
        <f t="array" ref="N286">_xlfn.IFS(I286 = "Rob", "Robusta", I286 = "Exc", "Excelsa", I286 = "Ara", "Arabica", I286 = "Lib", "Liberica")</f>
        <v>Excelsa</v>
      </c>
      <c r="O286" t="str">
        <f t="shared" si="9"/>
        <v>Medium</v>
      </c>
      <c r="P286" t="str">
        <f>_xlfn.XLOOKUP(orders[[#This Row],[Customer ID]],customers!$A$1:$A$1001,customers!$I$1:$I$1001)</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 = 0, "", 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8"/>
        <v>36.454999999999998</v>
      </c>
      <c r="N287" t="str" cm="1">
        <f t="array" ref="N287">_xlfn.IFS(I287 = "Rob", "Robusta", I287 = "Exc", "Excelsa", I287 = "Ara", "Arabica", I287 = "Lib", "Liberica")</f>
        <v>Liberica</v>
      </c>
      <c r="O287" t="str">
        <f t="shared" si="9"/>
        <v>Light</v>
      </c>
      <c r="P287" t="str">
        <f>_xlfn.XLOOKUP(orders[[#This Row],[Customer ID]],customers!$A$1:$A$1001,customers!$I$1:$I$1001)</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 = 0, "", 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8"/>
        <v>13.5</v>
      </c>
      <c r="N288" t="str" cm="1">
        <f t="array" ref="N288">_xlfn.IFS(I288 = "Rob", "Robusta", I288 = "Exc", "Excelsa", I288 = "Ara", "Arabica", I288 = "Lib", "Liberica")</f>
        <v>Arabica</v>
      </c>
      <c r="O288" t="str">
        <f t="shared" si="9"/>
        <v>Medium</v>
      </c>
      <c r="P288" t="str">
        <f>_xlfn.XLOOKUP(orders[[#This Row],[Customer ID]],customers!$A$1:$A$1001,customers!$I$1:$I$1001)</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 = 0, "", 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8"/>
        <v>14.339999999999998</v>
      </c>
      <c r="N289" t="str" cm="1">
        <f t="array" ref="N289">_xlfn.IFS(I289 = "Rob", "Robusta", I289 = "Exc", "Excelsa", I289 = "Ara", "Arabica", I289 = "Lib", "Liberica")</f>
        <v>Robusta</v>
      </c>
      <c r="O289" t="str">
        <f t="shared" si="9"/>
        <v>Light</v>
      </c>
      <c r="P289" t="str">
        <f>_xlfn.XLOOKUP(orders[[#This Row],[Customer ID]],customers!$A$1:$A$1001,customers!$I$1:$I$1001)</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 = 0, "", 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8"/>
        <v>8.25</v>
      </c>
      <c r="N290" t="str" cm="1">
        <f t="array" ref="N290">_xlfn.IFS(I290 = "Rob", "Robusta", I290 = "Exc", "Excelsa", I290 = "Ara", "Arabica", I290 = "Lib", "Liberica")</f>
        <v>Excelsa</v>
      </c>
      <c r="O290" t="str">
        <f t="shared" si="9"/>
        <v>Medium</v>
      </c>
      <c r="P290" t="str">
        <f>_xlfn.XLOOKUP(orders[[#This Row],[Customer ID]],customers!$A$1:$A$1001,customers!$I$1:$I$1001)</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 = 0, "", 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8"/>
        <v>13.424999999999997</v>
      </c>
      <c r="N291" t="str" cm="1">
        <f t="array" ref="N291">_xlfn.IFS(I291 = "Rob", "Robusta", I291 = "Exc", "Excelsa", I291 = "Ara", "Arabica", I291 = "Lib", "Liberica")</f>
        <v>Robusta</v>
      </c>
      <c r="O291" t="str">
        <f t="shared" si="9"/>
        <v>Dark</v>
      </c>
      <c r="P291" t="str">
        <f>_xlfn.XLOOKUP(orders[[#This Row],[Customer ID]],customers!$A$1:$A$1001,customers!$I$1:$I$1001)</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 = 0, "", 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8"/>
        <v>49.75</v>
      </c>
      <c r="N292" t="str" cm="1">
        <f t="array" ref="N292">_xlfn.IFS(I292 = "Rob", "Robusta", I292 = "Exc", "Excelsa", I292 = "Ara", "Arabica", I292 = "Lib", "Liberica")</f>
        <v>Arabica</v>
      </c>
      <c r="O292" t="str">
        <f t="shared" si="9"/>
        <v>Dark</v>
      </c>
      <c r="P292" t="str">
        <f>_xlfn.XLOOKUP(orders[[#This Row],[Customer ID]],customers!$A$1:$A$1001,customers!$I$1:$I$1001)</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 = 0, "", 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8"/>
        <v>16.5</v>
      </c>
      <c r="N293" t="str" cm="1">
        <f t="array" ref="N293">_xlfn.IFS(I293 = "Rob", "Robusta", I293 = "Exc", "Excelsa", I293 = "Ara", "Arabica", I293 = "Lib", "Liberica")</f>
        <v>Excelsa</v>
      </c>
      <c r="O293" t="str">
        <f t="shared" si="9"/>
        <v>Medium</v>
      </c>
      <c r="P293" t="str">
        <f>_xlfn.XLOOKUP(orders[[#This Row],[Customer ID]],customers!$A$1:$A$1001,customers!$I$1:$I$1001)</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 = 0, "", 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8"/>
        <v>17.91</v>
      </c>
      <c r="N294" t="str" cm="1">
        <f t="array" ref="N294">_xlfn.IFS(I294 = "Rob", "Robusta", I294 = "Exc", "Excelsa", I294 = "Ara", "Arabica", I294 = "Lib", "Liberica")</f>
        <v>Arabica</v>
      </c>
      <c r="O294" t="str">
        <f t="shared" si="9"/>
        <v>Dark</v>
      </c>
      <c r="P294" t="str">
        <f>_xlfn.XLOOKUP(orders[[#This Row],[Customer ID]],customers!$A$1:$A$1001,customers!$I$1:$I$1001)</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 = 0, "", 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8"/>
        <v>29.849999999999998</v>
      </c>
      <c r="N295" t="str" cm="1">
        <f t="array" ref="N295">_xlfn.IFS(I295 = "Rob", "Robusta", I295 = "Exc", "Excelsa", I295 = "Ara", "Arabica", I295 = "Lib", "Liberica")</f>
        <v>Arabica</v>
      </c>
      <c r="O295" t="str">
        <f t="shared" si="9"/>
        <v>Dark</v>
      </c>
      <c r="P295" t="str">
        <f>_xlfn.XLOOKUP(orders[[#This Row],[Customer ID]],customers!$A$1:$A$1001,customers!$I$1:$I$1001)</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 = 0, "", 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8"/>
        <v>44.55</v>
      </c>
      <c r="N296" t="str" cm="1">
        <f t="array" ref="N296">_xlfn.IFS(I296 = "Rob", "Robusta", I296 = "Exc", "Excelsa", I296 = "Ara", "Arabica", I296 = "Lib", "Liberica")</f>
        <v>Excelsa</v>
      </c>
      <c r="O296" t="str">
        <f t="shared" si="9"/>
        <v>Light</v>
      </c>
      <c r="P296" t="str">
        <f>_xlfn.XLOOKUP(orders[[#This Row],[Customer ID]],customers!$A$1:$A$1001,customers!$I$1:$I$1001)</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 = 0, "", 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8"/>
        <v>27.5</v>
      </c>
      <c r="N297" t="str" cm="1">
        <f t="array" ref="N297">_xlfn.IFS(I297 = "Rob", "Robusta", I297 = "Exc", "Excelsa", I297 = "Ara", "Arabica", I297 = "Lib", "Liberica")</f>
        <v>Excelsa</v>
      </c>
      <c r="O297" t="str">
        <f t="shared" si="9"/>
        <v>Medium</v>
      </c>
      <c r="P297" t="str">
        <f>_xlfn.XLOOKUP(orders[[#This Row],[Customer ID]],customers!$A$1:$A$1001,customers!$I$1:$I$1001)</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 = 0, "", 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8"/>
        <v>35.82</v>
      </c>
      <c r="N298" t="str" cm="1">
        <f t="array" ref="N298">_xlfn.IFS(I298 = "Rob", "Robusta", I298 = "Exc", "Excelsa", I298 = "Ara", "Arabica", I298 = "Lib", "Liberica")</f>
        <v>Robusta</v>
      </c>
      <c r="O298" t="str">
        <f t="shared" si="9"/>
        <v>Medium</v>
      </c>
      <c r="P298" t="str">
        <f>_xlfn.XLOOKUP(orders[[#This Row],[Customer ID]],customers!$A$1:$A$1001,customers!$I$1:$I$1001)</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 = 0, "", 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8"/>
        <v>16.11</v>
      </c>
      <c r="N299" t="str" cm="1">
        <f t="array" ref="N299">_xlfn.IFS(I299 = "Rob", "Robusta", I299 = "Exc", "Excelsa", I299 = "Ara", "Arabica", I299 = "Lib", "Liberica")</f>
        <v>Robusta</v>
      </c>
      <c r="O299" t="str">
        <f t="shared" si="9"/>
        <v>Dark</v>
      </c>
      <c r="P299" t="str">
        <f>_xlfn.XLOOKUP(orders[[#This Row],[Customer ID]],customers!$A$1:$A$1001,customers!$I$1:$I$1001)</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 = 0, "", 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8"/>
        <v>26.73</v>
      </c>
      <c r="N300" t="str" cm="1">
        <f t="array" ref="N300">_xlfn.IFS(I300 = "Rob", "Robusta", I300 = "Exc", "Excelsa", I300 = "Ara", "Arabica", I300 = "Lib", "Liberica")</f>
        <v>Excelsa</v>
      </c>
      <c r="O300" t="str">
        <f t="shared" si="9"/>
        <v>Light</v>
      </c>
      <c r="P300" t="str">
        <f>_xlfn.XLOOKUP(orders[[#This Row],[Customer ID]],customers!$A$1:$A$1001,customers!$I$1:$I$1001)</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 = 0, "", 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8"/>
        <v>204.92999999999995</v>
      </c>
      <c r="N301" t="str" cm="1">
        <f t="array" ref="N301">_xlfn.IFS(I301 = "Rob", "Robusta", I301 = "Exc", "Excelsa", I301 = "Ara", "Arabica", I301 = "Lib", "Liberica")</f>
        <v>Excelsa</v>
      </c>
      <c r="O301" t="str">
        <f t="shared" si="9"/>
        <v>Light</v>
      </c>
      <c r="P301" t="str">
        <f>_xlfn.XLOOKUP(orders[[#This Row],[Customer ID]],customers!$A$1:$A$1001,customers!$I$1:$I$1001)</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 = 0, "", 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8"/>
        <v>38.849999999999994</v>
      </c>
      <c r="N302" t="str" cm="1">
        <f t="array" ref="N302">_xlfn.IFS(I302 = "Rob", "Robusta", I302 = "Exc", "Excelsa", I302 = "Ara", "Arabica", I302 = "Lib", "Liberica")</f>
        <v>Arabica</v>
      </c>
      <c r="O302" t="str">
        <f t="shared" si="9"/>
        <v>Light</v>
      </c>
      <c r="P302" t="str">
        <f>_xlfn.XLOOKUP(orders[[#This Row],[Customer ID]],customers!$A$1:$A$1001,customers!$I$1:$I$1001)</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 = 0, "", 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8"/>
        <v>15.54</v>
      </c>
      <c r="N303" t="str" cm="1">
        <f t="array" ref="N303">_xlfn.IFS(I303 = "Rob", "Robusta", I303 = "Exc", "Excelsa", I303 = "Ara", "Arabica", I303 = "Lib", "Liberica")</f>
        <v>Liberica</v>
      </c>
      <c r="O303" t="str">
        <f t="shared" si="9"/>
        <v>Dark</v>
      </c>
      <c r="P303" t="str">
        <f>_xlfn.XLOOKUP(orders[[#This Row],[Customer ID]],customers!$A$1:$A$1001,customers!$I$1:$I$1001)</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 = 0, "", 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8"/>
        <v>6.75</v>
      </c>
      <c r="N304" t="str" cm="1">
        <f t="array" ref="N304">_xlfn.IFS(I304 = "Rob", "Robusta", I304 = "Exc", "Excelsa", I304 = "Ara", "Arabica", I304 = "Lib", "Liberica")</f>
        <v>Arabica</v>
      </c>
      <c r="O304" t="str">
        <f t="shared" si="9"/>
        <v>Medium</v>
      </c>
      <c r="P304" t="str">
        <f>_xlfn.XLOOKUP(orders[[#This Row],[Customer ID]],customers!$A$1:$A$1001,customers!$I$1:$I$1001)</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 = 0, "", 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8"/>
        <v>111.78</v>
      </c>
      <c r="N305" t="str" cm="1">
        <f t="array" ref="N305">_xlfn.IFS(I305 = "Rob", "Robusta", I305 = "Exc", "Excelsa", I305 = "Ara", "Arabica", I305 = "Lib", "Liberica")</f>
        <v>Excelsa</v>
      </c>
      <c r="O305" t="str">
        <f t="shared" si="9"/>
        <v>Dark</v>
      </c>
      <c r="P305" t="str">
        <f>_xlfn.XLOOKUP(orders[[#This Row],[Customer ID]],customers!$A$1:$A$1001,customers!$I$1:$I$1001)</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 = 0, "", 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8"/>
        <v>3.8849999999999998</v>
      </c>
      <c r="N306" t="str" cm="1">
        <f t="array" ref="N306">_xlfn.IFS(I306 = "Rob", "Robusta", I306 = "Exc", "Excelsa", I306 = "Ara", "Arabica", I306 = "Lib", "Liberica")</f>
        <v>Arabica</v>
      </c>
      <c r="O306" t="str">
        <f t="shared" si="9"/>
        <v>Light</v>
      </c>
      <c r="P306" t="str">
        <f>_xlfn.XLOOKUP(orders[[#This Row],[Customer ID]],customers!$A$1:$A$1001,customers!$I$1:$I$1001)</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 = 0, "", 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8"/>
        <v>21.825000000000003</v>
      </c>
      <c r="N307" t="str" cm="1">
        <f t="array" ref="N307">_xlfn.IFS(I307 = "Rob", "Robusta", I307 = "Exc", "Excelsa", I307 = "Ara", "Arabica", I307 = "Lib", "Liberica")</f>
        <v>Liberica</v>
      </c>
      <c r="O307" t="str">
        <f t="shared" si="9"/>
        <v>Medium</v>
      </c>
      <c r="P307" t="str">
        <f>_xlfn.XLOOKUP(orders[[#This Row],[Customer ID]],customers!$A$1:$A$1001,customers!$I$1:$I$1001)</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 = 0, "", 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8"/>
        <v>14.924999999999999</v>
      </c>
      <c r="N308" t="str" cm="1">
        <f t="array" ref="N308">_xlfn.IFS(I308 = "Rob", "Robusta", I308 = "Exc", "Excelsa", I308 = "Ara", "Arabica", I308 = "Lib", "Liberica")</f>
        <v>Robusta</v>
      </c>
      <c r="O308" t="str">
        <f t="shared" si="9"/>
        <v>Medium</v>
      </c>
      <c r="P308" t="str">
        <f>_xlfn.XLOOKUP(orders[[#This Row],[Customer ID]],customers!$A$1:$A$1001,customers!$I$1:$I$1001)</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 = 0, "", 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8"/>
        <v>33.75</v>
      </c>
      <c r="N309" t="str" cm="1">
        <f t="array" ref="N309">_xlfn.IFS(I309 = "Rob", "Robusta", I309 = "Exc", "Excelsa", I309 = "Ara", "Arabica", I309 = "Lib", "Liberica")</f>
        <v>Arabica</v>
      </c>
      <c r="O309" t="str">
        <f t="shared" si="9"/>
        <v>Medium</v>
      </c>
      <c r="P309" t="str">
        <f>_xlfn.XLOOKUP(orders[[#This Row],[Customer ID]],customers!$A$1:$A$1001,customers!$I$1:$I$1001)</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 = 0, "", 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8"/>
        <v>33.75</v>
      </c>
      <c r="N310" t="str" cm="1">
        <f t="array" ref="N310">_xlfn.IFS(I310 = "Rob", "Robusta", I310 = "Exc", "Excelsa", I310 = "Ara", "Arabica", I310 = "Lib", "Liberica")</f>
        <v>Arabica</v>
      </c>
      <c r="O310" t="str">
        <f t="shared" si="9"/>
        <v>Medium</v>
      </c>
      <c r="P310" t="str">
        <f>_xlfn.XLOOKUP(orders[[#This Row],[Customer ID]],customers!$A$1:$A$1001,customers!$I$1:$I$1001)</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 = 0, "", 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8"/>
        <v>26.19</v>
      </c>
      <c r="N311" t="str" cm="1">
        <f t="array" ref="N311">_xlfn.IFS(I311 = "Rob", "Robusta", I311 = "Exc", "Excelsa", I311 = "Ara", "Arabica", I311 = "Lib", "Liberica")</f>
        <v>Liberica</v>
      </c>
      <c r="O311" t="str">
        <f t="shared" si="9"/>
        <v>Medium</v>
      </c>
      <c r="P311" t="str">
        <f>_xlfn.XLOOKUP(orders[[#This Row],[Customer ID]],customers!$A$1:$A$1001,customers!$I$1:$I$1001)</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 = 0, "", 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8"/>
        <v>14.85</v>
      </c>
      <c r="N312" t="str" cm="1">
        <f t="array" ref="N312">_xlfn.IFS(I312 = "Rob", "Robusta", I312 = "Exc", "Excelsa", I312 = "Ara", "Arabica", I312 = "Lib", "Liberica")</f>
        <v>Excelsa</v>
      </c>
      <c r="O312" t="str">
        <f t="shared" si="9"/>
        <v>Light</v>
      </c>
      <c r="P312" t="str">
        <f>_xlfn.XLOOKUP(orders[[#This Row],[Customer ID]],customers!$A$1:$A$1001,customers!$I$1:$I$1001)</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 = 0, "", 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8"/>
        <v>189.74999999999997</v>
      </c>
      <c r="N313" t="str" cm="1">
        <f t="array" ref="N313">_xlfn.IFS(I313 = "Rob", "Robusta", I313 = "Exc", "Excelsa", I313 = "Ara", "Arabica", I313 = "Lib", "Liberica")</f>
        <v>Excelsa</v>
      </c>
      <c r="O313" t="str">
        <f t="shared" si="9"/>
        <v>Medium</v>
      </c>
      <c r="P313" t="str">
        <f>_xlfn.XLOOKUP(orders[[#This Row],[Customer ID]],customers!$A$1:$A$1001,customers!$I$1:$I$1001)</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 = 0, "", 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8"/>
        <v>5.97</v>
      </c>
      <c r="N314" t="str" cm="1">
        <f t="array" ref="N314">_xlfn.IFS(I314 = "Rob", "Robusta", I314 = "Exc", "Excelsa", I314 = "Ara", "Arabica", I314 = "Lib", "Liberica")</f>
        <v>Robusta</v>
      </c>
      <c r="O314" t="str">
        <f t="shared" si="9"/>
        <v>Medium</v>
      </c>
      <c r="P314" t="str">
        <f>_xlfn.XLOOKUP(orders[[#This Row],[Customer ID]],customers!$A$1:$A$1001,customers!$I$1:$I$1001)</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 = 0, "", 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8"/>
        <v>29.849999999999998</v>
      </c>
      <c r="N315" t="str" cm="1">
        <f t="array" ref="N315">_xlfn.IFS(I315 = "Rob", "Robusta", I315 = "Exc", "Excelsa", I315 = "Ara", "Arabica", I315 = "Lib", "Liberica")</f>
        <v>Robusta</v>
      </c>
      <c r="O315" t="str">
        <f t="shared" si="9"/>
        <v>Medium</v>
      </c>
      <c r="P315" t="str">
        <f>_xlfn.XLOOKUP(orders[[#This Row],[Customer ID]],customers!$A$1:$A$1001,customers!$I$1:$I$1001)</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 = 0, "", 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8"/>
        <v>44.75</v>
      </c>
      <c r="N316" t="str" cm="1">
        <f t="array" ref="N316">_xlfn.IFS(I316 = "Rob", "Robusta", I316 = "Exc", "Excelsa", I316 = "Ara", "Arabica", I316 = "Lib", "Liberica")</f>
        <v>Robusta</v>
      </c>
      <c r="O316" t="str">
        <f t="shared" si="9"/>
        <v>Dark</v>
      </c>
      <c r="P316" t="str">
        <f>_xlfn.XLOOKUP(orders[[#This Row],[Customer ID]],customers!$A$1:$A$1001,customers!$I$1:$I$1001)</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 = 0, "", 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8"/>
        <v>34.154999999999994</v>
      </c>
      <c r="N317" t="str" cm="1">
        <f t="array" ref="N317">_xlfn.IFS(I317 = "Rob", "Robusta", I317 = "Exc", "Excelsa", I317 = "Ara", "Arabica", I317 = "Lib", "Liberica")</f>
        <v>Excelsa</v>
      </c>
      <c r="O317" t="str">
        <f t="shared" si="9"/>
        <v>Light</v>
      </c>
      <c r="P317" t="str">
        <f>_xlfn.XLOOKUP(orders[[#This Row],[Customer ID]],customers!$A$1:$A$1001,customers!$I$1:$I$1001)</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 = 0, "", 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8"/>
        <v>204.92999999999995</v>
      </c>
      <c r="N318" t="str" cm="1">
        <f t="array" ref="N318">_xlfn.IFS(I318 = "Rob", "Robusta", I318 = "Exc", "Excelsa", I318 = "Ara", "Arabica", I318 = "Lib", "Liberica")</f>
        <v>Excelsa</v>
      </c>
      <c r="O318" t="str">
        <f t="shared" si="9"/>
        <v>Light</v>
      </c>
      <c r="P318" t="str">
        <f>_xlfn.XLOOKUP(orders[[#This Row],[Customer ID]],customers!$A$1:$A$1001,customers!$I$1:$I$1001)</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 = 0, "", 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8"/>
        <v>21.87</v>
      </c>
      <c r="N319" t="str" cm="1">
        <f t="array" ref="N319">_xlfn.IFS(I319 = "Rob", "Robusta", I319 = "Exc", "Excelsa", I319 = "Ara", "Arabica", I319 = "Lib", "Liberica")</f>
        <v>Excelsa</v>
      </c>
      <c r="O319" t="str">
        <f t="shared" si="9"/>
        <v>Dark</v>
      </c>
      <c r="P319" t="str">
        <f>_xlfn.XLOOKUP(orders[[#This Row],[Customer ID]],customers!$A$1:$A$1001,customers!$I$1:$I$1001)</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 = 0, "", 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8"/>
        <v>51.749999999999993</v>
      </c>
      <c r="N320" t="str" cm="1">
        <f t="array" ref="N320">_xlfn.IFS(I320 = "Rob", "Robusta", I320 = "Exc", "Excelsa", I320 = "Ara", "Arabica", I320 = "Lib", "Liberica")</f>
        <v>Arabica</v>
      </c>
      <c r="O320" t="str">
        <f t="shared" si="9"/>
        <v>Medium</v>
      </c>
      <c r="P320" t="str">
        <f>_xlfn.XLOOKUP(orders[[#This Row],[Customer ID]],customers!$A$1:$A$1001,customers!$I$1:$I$1001)</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 = 0, "", 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8"/>
        <v>8.25</v>
      </c>
      <c r="N321" t="str" cm="1">
        <f t="array" ref="N321">_xlfn.IFS(I321 = "Rob", "Robusta", I321 = "Exc", "Excelsa", I321 = "Ara", "Arabica", I321 = "Lib", "Liberica")</f>
        <v>Excelsa</v>
      </c>
      <c r="O321" t="str">
        <f t="shared" si="9"/>
        <v>Medium</v>
      </c>
      <c r="P321" t="str">
        <f>_xlfn.XLOOKUP(orders[[#This Row],[Customer ID]],customers!$A$1:$A$1001,customers!$I$1:$I$1001)</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 = 0, "", 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8"/>
        <v>19.424999999999997</v>
      </c>
      <c r="N322" t="str" cm="1">
        <f t="array" ref="N322">_xlfn.IFS(I322 = "Rob", "Robusta", I322 = "Exc", "Excelsa", I322 = "Ara", "Arabica", I322 = "Lib", "Liberica")</f>
        <v>Arabica</v>
      </c>
      <c r="O322" t="str">
        <f t="shared" si="9"/>
        <v>Light</v>
      </c>
      <c r="P322" t="str">
        <f>_xlfn.XLOOKUP(orders[[#This Row],[Customer ID]],customers!$A$1:$A$1001,customers!$I$1:$I$1001)</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 = 0, "", 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0">SUM(L323*E323)</f>
        <v>20.25</v>
      </c>
      <c r="N323" t="str" cm="1">
        <f t="array" ref="N323">_xlfn.IFS(I323 = "Rob", "Robusta", I323 = "Exc", "Excelsa", I323 = "Ara", "Arabica", I323 = "Lib", "Liberica")</f>
        <v>Arabica</v>
      </c>
      <c r="O323" t="str">
        <f t="shared" ref="O323:O386" si="11">IF(J323 = "M", "Medium", IF(J323= "L", "Light",IF( J323 = "D", "Dark")))</f>
        <v>Medium</v>
      </c>
      <c r="P323" t="str">
        <f>_xlfn.XLOOKUP(orders[[#This Row],[Customer ID]],customers!$A$1:$A$1001,customers!$I$1:$I$1001)</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 = 0, "", 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0"/>
        <v>23.31</v>
      </c>
      <c r="N324" t="str" cm="1">
        <f t="array" ref="N324">_xlfn.IFS(I324 = "Rob", "Robusta", I324 = "Exc", "Excelsa", I324 = "Ara", "Arabica", I324 = "Lib", "Liberica")</f>
        <v>Liberica</v>
      </c>
      <c r="O324" t="str">
        <f t="shared" si="11"/>
        <v>Dark</v>
      </c>
      <c r="P324" t="str">
        <f>_xlfn.XLOOKUP(orders[[#This Row],[Customer ID]],customers!$A$1:$A$1001,customers!$I$1:$I$1001)</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 = 0, "", 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0"/>
        <v>18.225000000000001</v>
      </c>
      <c r="N325" t="str" cm="1">
        <f t="array" ref="N325">_xlfn.IFS(I325 = "Rob", "Robusta", I325 = "Exc", "Excelsa", I325 = "Ara", "Arabica", I325 = "Lib", "Liberica")</f>
        <v>Excelsa</v>
      </c>
      <c r="O325" t="str">
        <f t="shared" si="11"/>
        <v>Dark</v>
      </c>
      <c r="P325" t="str">
        <f>_xlfn.XLOOKUP(orders[[#This Row],[Customer ID]],customers!$A$1:$A$1001,customers!$I$1:$I$1001)</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 = 0, "", 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0"/>
        <v>13.75</v>
      </c>
      <c r="N326" t="str" cm="1">
        <f t="array" ref="N326">_xlfn.IFS(I326 = "Rob", "Robusta", I326 = "Exc", "Excelsa", I326 = "Ara", "Arabica", I326 = "Lib", "Liberica")</f>
        <v>Excelsa</v>
      </c>
      <c r="O326" t="str">
        <f t="shared" si="11"/>
        <v>Medium</v>
      </c>
      <c r="P326" t="str">
        <f>_xlfn.XLOOKUP(orders[[#This Row],[Customer ID]],customers!$A$1:$A$1001,customers!$I$1:$I$1001)</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 = 0, "", 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0"/>
        <v>29.784999999999997</v>
      </c>
      <c r="N327" t="str" cm="1">
        <f t="array" ref="N327">_xlfn.IFS(I327 = "Rob", "Robusta", I327 = "Exc", "Excelsa", I327 = "Ara", "Arabica", I327 = "Lib", "Liberica")</f>
        <v>Arabica</v>
      </c>
      <c r="O327" t="str">
        <f t="shared" si="11"/>
        <v>Light</v>
      </c>
      <c r="P327" t="str">
        <f>_xlfn.XLOOKUP(orders[[#This Row],[Customer ID]],customers!$A$1:$A$1001,customers!$I$1:$I$1001)</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 = 0, "", 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0"/>
        <v>44.75</v>
      </c>
      <c r="N328" t="str" cm="1">
        <f t="array" ref="N328">_xlfn.IFS(I328 = "Rob", "Robusta", I328 = "Exc", "Excelsa", I328 = "Ara", "Arabica", I328 = "Lib", "Liberica")</f>
        <v>Robusta</v>
      </c>
      <c r="O328" t="str">
        <f t="shared" si="11"/>
        <v>Dark</v>
      </c>
      <c r="P328" t="str">
        <f>_xlfn.XLOOKUP(orders[[#This Row],[Customer ID]],customers!$A$1:$A$1001,customers!$I$1:$I$1001)</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 = 0, "", 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0"/>
        <v>44.75</v>
      </c>
      <c r="N329" t="str" cm="1">
        <f t="array" ref="N329">_xlfn.IFS(I329 = "Rob", "Robusta", I329 = "Exc", "Excelsa", I329 = "Ara", "Arabica", I329 = "Lib", "Liberica")</f>
        <v>Robusta</v>
      </c>
      <c r="O329" t="str">
        <f t="shared" si="11"/>
        <v>Dark</v>
      </c>
      <c r="P329" t="str">
        <f>_xlfn.XLOOKUP(orders[[#This Row],[Customer ID]],customers!$A$1:$A$1001,customers!$I$1:$I$1001)</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 = 0, "", 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0"/>
        <v>38.04</v>
      </c>
      <c r="N330" t="str" cm="1">
        <f t="array" ref="N330">_xlfn.IFS(I330 = "Rob", "Robusta", I330 = "Exc", "Excelsa", I330 = "Ara", "Arabica", I330 = "Lib", "Liberica")</f>
        <v>Liberica</v>
      </c>
      <c r="O330" t="str">
        <f t="shared" si="11"/>
        <v>Light</v>
      </c>
      <c r="P330" t="str">
        <f>_xlfn.XLOOKUP(orders[[#This Row],[Customer ID]],customers!$A$1:$A$1001,customers!$I$1:$I$1001)</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 = 0, "", 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0"/>
        <v>21.479999999999997</v>
      </c>
      <c r="N331" t="str" cm="1">
        <f t="array" ref="N331">_xlfn.IFS(I331 = "Rob", "Robusta", I331 = "Exc", "Excelsa", I331 = "Ara", "Arabica", I331 = "Lib", "Liberica")</f>
        <v>Robusta</v>
      </c>
      <c r="O331" t="str">
        <f t="shared" si="11"/>
        <v>Dark</v>
      </c>
      <c r="P331" t="str">
        <f>_xlfn.XLOOKUP(orders[[#This Row],[Customer ID]],customers!$A$1:$A$1001,customers!$I$1:$I$1001)</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 = 0, "", 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0"/>
        <v>16.11</v>
      </c>
      <c r="N332" t="str" cm="1">
        <f t="array" ref="N332">_xlfn.IFS(I332 = "Rob", "Robusta", I332 = "Exc", "Excelsa", I332 = "Ara", "Arabica", I332 = "Lib", "Liberica")</f>
        <v>Robusta</v>
      </c>
      <c r="O332" t="str">
        <f t="shared" si="11"/>
        <v>Dark</v>
      </c>
      <c r="P332" t="str">
        <f>_xlfn.XLOOKUP(orders[[#This Row],[Customer ID]],customers!$A$1:$A$1001,customers!$I$1:$I$1001)</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 = 0, "", 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0"/>
        <v>22.884999999999998</v>
      </c>
      <c r="N333" t="str" cm="1">
        <f t="array" ref="N333">_xlfn.IFS(I333 = "Rob", "Robusta", I333 = "Exc", "Excelsa", I333 = "Ara", "Arabica", I333 = "Lib", "Liberica")</f>
        <v>Robusta</v>
      </c>
      <c r="O333" t="str">
        <f t="shared" si="11"/>
        <v>Medium</v>
      </c>
      <c r="P333" t="str">
        <f>_xlfn.XLOOKUP(orders[[#This Row],[Customer ID]],customers!$A$1:$A$1001,customers!$I$1:$I$1001)</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 = 0, "", 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0"/>
        <v>17.91</v>
      </c>
      <c r="N334" t="str" cm="1">
        <f t="array" ref="N334">_xlfn.IFS(I334 = "Rob", "Robusta", I334 = "Exc", "Excelsa", I334 = "Ara", "Arabica", I334 = "Lib", "Liberica")</f>
        <v>Arabica</v>
      </c>
      <c r="O334" t="str">
        <f t="shared" si="11"/>
        <v>Dark</v>
      </c>
      <c r="P334" t="str">
        <f>_xlfn.XLOOKUP(orders[[#This Row],[Customer ID]],customers!$A$1:$A$1001,customers!$I$1:$I$1001)</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 = 0, "", 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0"/>
        <v>23.88</v>
      </c>
      <c r="N335" t="str" cm="1">
        <f t="array" ref="N335">_xlfn.IFS(I335 = "Rob", "Robusta", I335 = "Exc", "Excelsa", I335 = "Ara", "Arabica", I335 = "Lib", "Liberica")</f>
        <v>Robusta</v>
      </c>
      <c r="O335" t="str">
        <f t="shared" si="11"/>
        <v>Medium</v>
      </c>
      <c r="P335" t="str">
        <f>_xlfn.XLOOKUP(orders[[#This Row],[Customer ID]],customers!$A$1:$A$1001,customers!$I$1:$I$1001)</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 = 0, "", 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0"/>
        <v>59.75</v>
      </c>
      <c r="N336" t="str" cm="1">
        <f t="array" ref="N336">_xlfn.IFS(I336 = "Rob", "Robusta", I336 = "Exc", "Excelsa", I336 = "Ara", "Arabica", I336 = "Lib", "Liberica")</f>
        <v>Robusta</v>
      </c>
      <c r="O336" t="str">
        <f t="shared" si="11"/>
        <v>Light</v>
      </c>
      <c r="P336" t="str">
        <f>_xlfn.XLOOKUP(orders[[#This Row],[Customer ID]],customers!$A$1:$A$1001,customers!$I$1:$I$1001)</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 = 0, "", 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0"/>
        <v>28.53</v>
      </c>
      <c r="N337" t="str" cm="1">
        <f t="array" ref="N337">_xlfn.IFS(I337 = "Rob", "Robusta", I337 = "Exc", "Excelsa", I337 = "Ara", "Arabica", I337 = "Lib", "Liberica")</f>
        <v>Liberica</v>
      </c>
      <c r="O337" t="str">
        <f t="shared" si="11"/>
        <v>Light</v>
      </c>
      <c r="P337" t="str">
        <f>_xlfn.XLOOKUP(orders[[#This Row],[Customer ID]],customers!$A$1:$A$1001,customers!$I$1:$I$1001)</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 = 0, "", 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0"/>
        <v>45</v>
      </c>
      <c r="N338" t="str" cm="1">
        <f t="array" ref="N338">_xlfn.IFS(I338 = "Rob", "Robusta", I338 = "Exc", "Excelsa", I338 = "Ara", "Arabica", I338 = "Lib", "Liberica")</f>
        <v>Arabica</v>
      </c>
      <c r="O338" t="str">
        <f t="shared" si="11"/>
        <v>Medium</v>
      </c>
      <c r="P338" t="str">
        <f>_xlfn.XLOOKUP(orders[[#This Row],[Customer ID]],customers!$A$1:$A$1001,customers!$I$1:$I$1001)</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 = 0, "", 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0"/>
        <v>55.89</v>
      </c>
      <c r="N339" t="str" cm="1">
        <f t="array" ref="N339">_xlfn.IFS(I339 = "Rob", "Robusta", I339 = "Exc", "Excelsa", I339 = "Ara", "Arabica", I339 = "Lib", "Liberica")</f>
        <v>Excelsa</v>
      </c>
      <c r="O339" t="str">
        <f t="shared" si="11"/>
        <v>Dark</v>
      </c>
      <c r="P339" t="str">
        <f>_xlfn.XLOOKUP(orders[[#This Row],[Customer ID]],customers!$A$1:$A$1001,customers!$I$1:$I$1001)</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 = 0, "", 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0"/>
        <v>59.4</v>
      </c>
      <c r="N340" t="str" cm="1">
        <f t="array" ref="N340">_xlfn.IFS(I340 = "Rob", "Robusta", I340 = "Exc", "Excelsa", I340 = "Ara", "Arabica", I340 = "Lib", "Liberica")</f>
        <v>Excelsa</v>
      </c>
      <c r="O340" t="str">
        <f t="shared" si="11"/>
        <v>Light</v>
      </c>
      <c r="P340" t="str">
        <f>_xlfn.XLOOKUP(orders[[#This Row],[Customer ID]],customers!$A$1:$A$1001,customers!$I$1:$I$1001)</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 = 0, "", 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0"/>
        <v>7.29</v>
      </c>
      <c r="N341" t="str" cm="1">
        <f t="array" ref="N341">_xlfn.IFS(I341 = "Rob", "Robusta", I341 = "Exc", "Excelsa", I341 = "Ara", "Arabica", I341 = "Lib", "Liberica")</f>
        <v>Excelsa</v>
      </c>
      <c r="O341" t="str">
        <f t="shared" si="11"/>
        <v>Dark</v>
      </c>
      <c r="P341" t="str">
        <f>_xlfn.XLOOKUP(orders[[#This Row],[Customer ID]],customers!$A$1:$A$1001,customers!$I$1:$I$1001)</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 = 0, "", 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0"/>
        <v>7.29</v>
      </c>
      <c r="N342" t="str" cm="1">
        <f t="array" ref="N342">_xlfn.IFS(I342 = "Rob", "Robusta", I342 = "Exc", "Excelsa", I342 = "Ara", "Arabica", I342 = "Lib", "Liberica")</f>
        <v>Excelsa</v>
      </c>
      <c r="O342" t="str">
        <f t="shared" si="11"/>
        <v>Dark</v>
      </c>
      <c r="P342" t="str">
        <f>_xlfn.XLOOKUP(orders[[#This Row],[Customer ID]],customers!$A$1:$A$1001,customers!$I$1:$I$1001)</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 = 0, "", 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0"/>
        <v>17.82</v>
      </c>
      <c r="N343" t="str" cm="1">
        <f t="array" ref="N343">_xlfn.IFS(I343 = "Rob", "Robusta", I343 = "Exc", "Excelsa", I343 = "Ara", "Arabica", I343 = "Lib", "Liberica")</f>
        <v>Excelsa</v>
      </c>
      <c r="O343" t="str">
        <f t="shared" si="11"/>
        <v>Light</v>
      </c>
      <c r="P343" t="str">
        <f>_xlfn.XLOOKUP(orders[[#This Row],[Customer ID]],customers!$A$1:$A$1001,customers!$I$1:$I$1001)</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 = 0, "", 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0"/>
        <v>38.849999999999994</v>
      </c>
      <c r="N344" t="str" cm="1">
        <f t="array" ref="N344">_xlfn.IFS(I344 = "Rob", "Robusta", I344 = "Exc", "Excelsa", I344 = "Ara", "Arabica", I344 = "Lib", "Liberica")</f>
        <v>Liberica</v>
      </c>
      <c r="O344" t="str">
        <f t="shared" si="11"/>
        <v>Dark</v>
      </c>
      <c r="P344" t="str">
        <f>_xlfn.XLOOKUP(orders[[#This Row],[Customer ID]],customers!$A$1:$A$1001,customers!$I$1:$I$1001)</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 = 0, "", 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0"/>
        <v>32.22</v>
      </c>
      <c r="N345" t="str" cm="1">
        <f t="array" ref="N345">_xlfn.IFS(I345 = "Rob", "Robusta", I345 = "Exc", "Excelsa", I345 = "Ara", "Arabica", I345 = "Lib", "Liberica")</f>
        <v>Robusta</v>
      </c>
      <c r="O345" t="str">
        <f t="shared" si="11"/>
        <v>Dark</v>
      </c>
      <c r="P345" t="str">
        <f>_xlfn.XLOOKUP(orders[[#This Row],[Customer ID]],customers!$A$1:$A$1001,customers!$I$1:$I$1001)</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 = 0, "", 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0"/>
        <v>19.899999999999999</v>
      </c>
      <c r="N346" t="str" cm="1">
        <f t="array" ref="N346">_xlfn.IFS(I346 = "Rob", "Robusta", I346 = "Exc", "Excelsa", I346 = "Ara", "Arabica", I346 = "Lib", "Liberica")</f>
        <v>Robusta</v>
      </c>
      <c r="O346" t="str">
        <f t="shared" si="11"/>
        <v>Medium</v>
      </c>
      <c r="P346" t="str">
        <f>_xlfn.XLOOKUP(orders[[#This Row],[Customer ID]],customers!$A$1:$A$1001,customers!$I$1:$I$1001)</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 = 0, "", 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0"/>
        <v>59.75</v>
      </c>
      <c r="N347" t="str" cm="1">
        <f t="array" ref="N347">_xlfn.IFS(I347 = "Rob", "Robusta", I347 = "Exc", "Excelsa", I347 = "Ara", "Arabica", I347 = "Lib", "Liberica")</f>
        <v>Robusta</v>
      </c>
      <c r="O347" t="str">
        <f t="shared" si="11"/>
        <v>Light</v>
      </c>
      <c r="P347" t="str">
        <f>_xlfn.XLOOKUP(orders[[#This Row],[Customer ID]],customers!$A$1:$A$1001,customers!$I$1:$I$1001)</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 = 0, "", 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0"/>
        <v>23.31</v>
      </c>
      <c r="N348" t="str" cm="1">
        <f t="array" ref="N348">_xlfn.IFS(I348 = "Rob", "Robusta", I348 = "Exc", "Excelsa", I348 = "Ara", "Arabica", I348 = "Lib", "Liberica")</f>
        <v>Arabica</v>
      </c>
      <c r="O348" t="str">
        <f t="shared" si="11"/>
        <v>Light</v>
      </c>
      <c r="P348" t="str">
        <f>_xlfn.XLOOKUP(orders[[#This Row],[Customer ID]],customers!$A$1:$A$1001,customers!$I$1:$I$1001)</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 = 0, "", 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0"/>
        <v>43.650000000000006</v>
      </c>
      <c r="N349" t="str" cm="1">
        <f t="array" ref="N349">_xlfn.IFS(I349 = "Rob", "Robusta", I349 = "Exc", "Excelsa", I349 = "Ara", "Arabica", I349 = "Lib", "Liberica")</f>
        <v>Liberica</v>
      </c>
      <c r="O349" t="str">
        <f t="shared" si="11"/>
        <v>Medium</v>
      </c>
      <c r="P349" t="str">
        <f>_xlfn.XLOOKUP(orders[[#This Row],[Customer ID]],customers!$A$1:$A$1001,customers!$I$1:$I$1001)</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 = 0, "", 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0"/>
        <v>204.92999999999995</v>
      </c>
      <c r="N350" t="str" cm="1">
        <f t="array" ref="N350">_xlfn.IFS(I350 = "Rob", "Robusta", I350 = "Exc", "Excelsa", I350 = "Ara", "Arabica", I350 = "Lib", "Liberica")</f>
        <v>Excelsa</v>
      </c>
      <c r="O350" t="str">
        <f t="shared" si="11"/>
        <v>Light</v>
      </c>
      <c r="P350" t="str">
        <f>_xlfn.XLOOKUP(orders[[#This Row],[Customer ID]],customers!$A$1:$A$1001,customers!$I$1:$I$1001)</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 = 0, "", 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0"/>
        <v>14.339999999999998</v>
      </c>
      <c r="N351" t="str" cm="1">
        <f t="array" ref="N351">_xlfn.IFS(I351 = "Rob", "Robusta", I351 = "Exc", "Excelsa", I351 = "Ara", "Arabica", I351 = "Lib", "Liberica")</f>
        <v>Robusta</v>
      </c>
      <c r="O351" t="str">
        <f t="shared" si="11"/>
        <v>Light</v>
      </c>
      <c r="P351" t="str">
        <f>_xlfn.XLOOKUP(orders[[#This Row],[Customer ID]],customers!$A$1:$A$1001,customers!$I$1:$I$1001)</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 = 0, "", 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0"/>
        <v>23.88</v>
      </c>
      <c r="N352" t="str" cm="1">
        <f t="array" ref="N352">_xlfn.IFS(I352 = "Rob", "Robusta", I352 = "Exc", "Excelsa", I352 = "Ara", "Arabica", I352 = "Lib", "Liberica")</f>
        <v>Arabica</v>
      </c>
      <c r="O352" t="str">
        <f t="shared" si="11"/>
        <v>Dark</v>
      </c>
      <c r="P352" t="str">
        <f>_xlfn.XLOOKUP(orders[[#This Row],[Customer ID]],customers!$A$1:$A$1001,customers!$I$1:$I$1001)</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 = 0, "", 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0"/>
        <v>22.5</v>
      </c>
      <c r="N353" t="str" cm="1">
        <f t="array" ref="N353">_xlfn.IFS(I353 = "Rob", "Robusta", I353 = "Exc", "Excelsa", I353 = "Ara", "Arabica", I353 = "Lib", "Liberica")</f>
        <v>Arabica</v>
      </c>
      <c r="O353" t="str">
        <f t="shared" si="11"/>
        <v>Medium</v>
      </c>
      <c r="P353" t="str">
        <f>_xlfn.XLOOKUP(orders[[#This Row],[Customer ID]],customers!$A$1:$A$1001,customers!$I$1:$I$1001)</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 = 0, "", 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0"/>
        <v>36.450000000000003</v>
      </c>
      <c r="N354" t="str" cm="1">
        <f t="array" ref="N354">_xlfn.IFS(I354 = "Rob", "Robusta", I354 = "Exc", "Excelsa", I354 = "Ara", "Arabica", I354 = "Lib", "Liberica")</f>
        <v>Excelsa</v>
      </c>
      <c r="O354" t="str">
        <f t="shared" si="11"/>
        <v>Dark</v>
      </c>
      <c r="P354" t="str">
        <f>_xlfn.XLOOKUP(orders[[#This Row],[Customer ID]],customers!$A$1:$A$1001,customers!$I$1:$I$1001)</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 = 0, "", 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0"/>
        <v>27</v>
      </c>
      <c r="N355" t="str" cm="1">
        <f t="array" ref="N355">_xlfn.IFS(I355 = "Rob", "Robusta", I355 = "Exc", "Excelsa", I355 = "Ara", "Arabica", I355 = "Lib", "Liberica")</f>
        <v>Arabica</v>
      </c>
      <c r="O355" t="str">
        <f t="shared" si="11"/>
        <v>Medium</v>
      </c>
      <c r="P355" t="str">
        <f>_xlfn.XLOOKUP(orders[[#This Row],[Customer ID]],customers!$A$1:$A$1001,customers!$I$1:$I$1001)</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 = 0, "", 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0"/>
        <v>155.24999999999997</v>
      </c>
      <c r="N356" t="str" cm="1">
        <f t="array" ref="N356">_xlfn.IFS(I356 = "Rob", "Robusta", I356 = "Exc", "Excelsa", I356 = "Ara", "Arabica", I356 = "Lib", "Liberica")</f>
        <v>Arabica</v>
      </c>
      <c r="O356" t="str">
        <f t="shared" si="11"/>
        <v>Medium</v>
      </c>
      <c r="P356" t="str">
        <f>_xlfn.XLOOKUP(orders[[#This Row],[Customer ID]],customers!$A$1:$A$1001,customers!$I$1:$I$1001)</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 = 0, "", 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0"/>
        <v>114.42499999999998</v>
      </c>
      <c r="N357" t="str" cm="1">
        <f t="array" ref="N357">_xlfn.IFS(I357 = "Rob", "Robusta", I357 = "Exc", "Excelsa", I357 = "Ara", "Arabica", I357 = "Lib", "Liberica")</f>
        <v>Arabica</v>
      </c>
      <c r="O357" t="str">
        <f t="shared" si="11"/>
        <v>Dark</v>
      </c>
      <c r="P357" t="str">
        <f>_xlfn.XLOOKUP(orders[[#This Row],[Customer ID]],customers!$A$1:$A$1001,customers!$I$1:$I$1001)</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 = 0, "", 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0"/>
        <v>51.8</v>
      </c>
      <c r="N358" t="str" cm="1">
        <f t="array" ref="N358">_xlfn.IFS(I358 = "Rob", "Robusta", I358 = "Exc", "Excelsa", I358 = "Ara", "Arabica", I358 = "Lib", "Liberica")</f>
        <v>Liberica</v>
      </c>
      <c r="O358" t="str">
        <f t="shared" si="11"/>
        <v>Dark</v>
      </c>
      <c r="P358" t="str">
        <f>_xlfn.XLOOKUP(orders[[#This Row],[Customer ID]],customers!$A$1:$A$1001,customers!$I$1:$I$1001)</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 = 0, "", 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0"/>
        <v>155.24999999999997</v>
      </c>
      <c r="N359" t="str" cm="1">
        <f t="array" ref="N359">_xlfn.IFS(I359 = "Rob", "Robusta", I359 = "Exc", "Excelsa", I359 = "Ara", "Arabica", I359 = "Lib", "Liberica")</f>
        <v>Arabica</v>
      </c>
      <c r="O359" t="str">
        <f t="shared" si="11"/>
        <v>Medium</v>
      </c>
      <c r="P359" t="str">
        <f>_xlfn.XLOOKUP(orders[[#This Row],[Customer ID]],customers!$A$1:$A$1001,customers!$I$1:$I$1001)</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 = 0, "", 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0"/>
        <v>29.784999999999997</v>
      </c>
      <c r="N360" t="str" cm="1">
        <f t="array" ref="N360">_xlfn.IFS(I360 = "Rob", "Robusta", I360 = "Exc", "Excelsa", I360 = "Ara", "Arabica", I360 = "Lib", "Liberica")</f>
        <v>Arabica</v>
      </c>
      <c r="O360" t="str">
        <f t="shared" si="11"/>
        <v>Light</v>
      </c>
      <c r="P360" t="str">
        <f>_xlfn.XLOOKUP(orders[[#This Row],[Customer ID]],customers!$A$1:$A$1001,customers!$I$1:$I$1001)</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 = 0, "", 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0"/>
        <v>21.509999999999998</v>
      </c>
      <c r="N361" t="str" cm="1">
        <f t="array" ref="N361">_xlfn.IFS(I361 = "Rob", "Robusta", I361 = "Exc", "Excelsa", I361 = "Ara", "Arabica", I361 = "Lib", "Liberica")</f>
        <v>Robusta</v>
      </c>
      <c r="O361" t="str">
        <f t="shared" si="11"/>
        <v>Light</v>
      </c>
      <c r="P361" t="str">
        <f>_xlfn.XLOOKUP(orders[[#This Row],[Customer ID]],customers!$A$1:$A$1001,customers!$I$1:$I$1001)</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 = 0, "", 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0"/>
        <v>41.169999999999995</v>
      </c>
      <c r="N362" t="str" cm="1">
        <f t="array" ref="N362">_xlfn.IFS(I362 = "Rob", "Robusta", I362 = "Exc", "Excelsa", I362 = "Ara", "Arabica", I362 = "Lib", "Liberica")</f>
        <v>Robusta</v>
      </c>
      <c r="O362" t="str">
        <f t="shared" si="11"/>
        <v>Dark</v>
      </c>
      <c r="P362" t="str">
        <f>_xlfn.XLOOKUP(orders[[#This Row],[Customer ID]],customers!$A$1:$A$1001,customers!$I$1:$I$1001)</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 = 0, "", 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0"/>
        <v>5.97</v>
      </c>
      <c r="N363" t="str" cm="1">
        <f t="array" ref="N363">_xlfn.IFS(I363 = "Rob", "Robusta", I363 = "Exc", "Excelsa", I363 = "Ara", "Arabica", I363 = "Lib", "Liberica")</f>
        <v>Robusta</v>
      </c>
      <c r="O363" t="str">
        <f t="shared" si="11"/>
        <v>Medium</v>
      </c>
      <c r="P363" t="str">
        <f>_xlfn.XLOOKUP(orders[[#This Row],[Customer ID]],customers!$A$1:$A$1001,customers!$I$1:$I$1001)</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 = 0, "", 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0"/>
        <v>74.25</v>
      </c>
      <c r="N364" t="str" cm="1">
        <f t="array" ref="N364">_xlfn.IFS(I364 = "Rob", "Robusta", I364 = "Exc", "Excelsa", I364 = "Ara", "Arabica", I364 = "Lib", "Liberica")</f>
        <v>Excelsa</v>
      </c>
      <c r="O364" t="str">
        <f t="shared" si="11"/>
        <v>Light</v>
      </c>
      <c r="P364" t="str">
        <f>_xlfn.XLOOKUP(orders[[#This Row],[Customer ID]],customers!$A$1:$A$1001,customers!$I$1:$I$1001)</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 = 0, "", 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0"/>
        <v>87.300000000000011</v>
      </c>
      <c r="N365" t="str" cm="1">
        <f t="array" ref="N365">_xlfn.IFS(I365 = "Rob", "Robusta", I365 = "Exc", "Excelsa", I365 = "Ara", "Arabica", I365 = "Lib", "Liberica")</f>
        <v>Liberica</v>
      </c>
      <c r="O365" t="str">
        <f t="shared" si="11"/>
        <v>Medium</v>
      </c>
      <c r="P365" t="str">
        <f>_xlfn.XLOOKUP(orders[[#This Row],[Customer ID]],customers!$A$1:$A$1001,customers!$I$1:$I$1001)</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 = 0, "", 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0"/>
        <v>72.900000000000006</v>
      </c>
      <c r="N366" t="str" cm="1">
        <f t="array" ref="N366">_xlfn.IFS(I366 = "Rob", "Robusta", I366 = "Exc", "Excelsa", I366 = "Ara", "Arabica", I366 = "Lib", "Liberica")</f>
        <v>Excelsa</v>
      </c>
      <c r="O366" t="str">
        <f t="shared" si="11"/>
        <v>Dark</v>
      </c>
      <c r="P366" t="str">
        <f>_xlfn.XLOOKUP(orders[[#This Row],[Customer ID]],customers!$A$1:$A$1001,customers!$I$1:$I$1001)</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 = 0, "", 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0"/>
        <v>7.77</v>
      </c>
      <c r="N367" t="str" cm="1">
        <f t="array" ref="N367">_xlfn.IFS(I367 = "Rob", "Robusta", I367 = "Exc", "Excelsa", I367 = "Ara", "Arabica", I367 = "Lib", "Liberica")</f>
        <v>Liberica</v>
      </c>
      <c r="O367" t="str">
        <f t="shared" si="11"/>
        <v>Dark</v>
      </c>
      <c r="P367" t="str">
        <f>_xlfn.XLOOKUP(orders[[#This Row],[Customer ID]],customers!$A$1:$A$1001,customers!$I$1:$I$1001)</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 = 0, "", 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0"/>
        <v>43.74</v>
      </c>
      <c r="N368" t="str" cm="1">
        <f t="array" ref="N368">_xlfn.IFS(I368 = "Rob", "Robusta", I368 = "Exc", "Excelsa", I368 = "Ara", "Arabica", I368 = "Lib", "Liberica")</f>
        <v>Excelsa</v>
      </c>
      <c r="O368" t="str">
        <f t="shared" si="11"/>
        <v>Dark</v>
      </c>
      <c r="P368" t="str">
        <f>_xlfn.XLOOKUP(orders[[#This Row],[Customer ID]],customers!$A$1:$A$1001,customers!$I$1:$I$1001)</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 = 0, "", 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0"/>
        <v>8.73</v>
      </c>
      <c r="N369" t="str" cm="1">
        <f t="array" ref="N369">_xlfn.IFS(I369 = "Rob", "Robusta", I369 = "Exc", "Excelsa", I369 = "Ara", "Arabica", I369 = "Lib", "Liberica")</f>
        <v>Liberica</v>
      </c>
      <c r="O369" t="str">
        <f t="shared" si="11"/>
        <v>Medium</v>
      </c>
      <c r="P369" t="str">
        <f>_xlfn.XLOOKUP(orders[[#This Row],[Customer ID]],customers!$A$1:$A$1001,customers!$I$1:$I$1001)</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 = 0, "", 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0"/>
        <v>63.249999999999993</v>
      </c>
      <c r="N370" t="str" cm="1">
        <f t="array" ref="N370">_xlfn.IFS(I370 = "Rob", "Robusta", I370 = "Exc", "Excelsa", I370 = "Ara", "Arabica", I370 = "Lib", "Liberica")</f>
        <v>Excelsa</v>
      </c>
      <c r="O370" t="str">
        <f t="shared" si="11"/>
        <v>Medium</v>
      </c>
      <c r="P370" t="str">
        <f>_xlfn.XLOOKUP(orders[[#This Row],[Customer ID]],customers!$A$1:$A$1001,customers!$I$1:$I$1001)</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 = 0, "", 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0"/>
        <v>8.91</v>
      </c>
      <c r="N371" t="str" cm="1">
        <f t="array" ref="N371">_xlfn.IFS(I371 = "Rob", "Robusta", I371 = "Exc", "Excelsa", I371 = "Ara", "Arabica", I371 = "Lib", "Liberica")</f>
        <v>Excelsa</v>
      </c>
      <c r="O371" t="str">
        <f t="shared" si="11"/>
        <v>Light</v>
      </c>
      <c r="P371" t="str">
        <f>_xlfn.XLOOKUP(orders[[#This Row],[Customer ID]],customers!$A$1:$A$1001,customers!$I$1:$I$1001)</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 = 0, "", 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0"/>
        <v>24.3</v>
      </c>
      <c r="N372" t="str" cm="1">
        <f t="array" ref="N372">_xlfn.IFS(I372 = "Rob", "Robusta", I372 = "Exc", "Excelsa", I372 = "Ara", "Arabica", I372 = "Lib", "Liberica")</f>
        <v>Excelsa</v>
      </c>
      <c r="O372" t="str">
        <f t="shared" si="11"/>
        <v>Dark</v>
      </c>
      <c r="P372" t="str">
        <f>_xlfn.XLOOKUP(orders[[#This Row],[Customer ID]],customers!$A$1:$A$1001,customers!$I$1:$I$1001)</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 = 0, "", 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0"/>
        <v>46.62</v>
      </c>
      <c r="N373" t="str" cm="1">
        <f t="array" ref="N373">_xlfn.IFS(I373 = "Rob", "Robusta", I373 = "Exc", "Excelsa", I373 = "Ara", "Arabica", I373 = "Lib", "Liberica")</f>
        <v>Arabica</v>
      </c>
      <c r="O373" t="str">
        <f t="shared" si="11"/>
        <v>Light</v>
      </c>
      <c r="P373" t="str">
        <f>_xlfn.XLOOKUP(orders[[#This Row],[Customer ID]],customers!$A$1:$A$1001,customers!$I$1:$I$1001)</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 = 0, "", 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0"/>
        <v>43.019999999999996</v>
      </c>
      <c r="N374" t="str" cm="1">
        <f t="array" ref="N374">_xlfn.IFS(I374 = "Rob", "Robusta", I374 = "Exc", "Excelsa", I374 = "Ara", "Arabica", I374 = "Lib", "Liberica")</f>
        <v>Robusta</v>
      </c>
      <c r="O374" t="str">
        <f t="shared" si="11"/>
        <v>Light</v>
      </c>
      <c r="P374" t="str">
        <f>_xlfn.XLOOKUP(orders[[#This Row],[Customer ID]],customers!$A$1:$A$1001,customers!$I$1:$I$1001)</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 = 0, "", 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0"/>
        <v>17.91</v>
      </c>
      <c r="N375" t="str" cm="1">
        <f t="array" ref="N375">_xlfn.IFS(I375 = "Rob", "Robusta", I375 = "Exc", "Excelsa", I375 = "Ara", "Arabica", I375 = "Lib", "Liberica")</f>
        <v>Arabica</v>
      </c>
      <c r="O375" t="str">
        <f t="shared" si="11"/>
        <v>Dark</v>
      </c>
      <c r="P375" t="str">
        <f>_xlfn.XLOOKUP(orders[[#This Row],[Customer ID]],customers!$A$1:$A$1001,customers!$I$1:$I$1001)</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 = 0, "", 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0"/>
        <v>38.04</v>
      </c>
      <c r="N376" t="str" cm="1">
        <f t="array" ref="N376">_xlfn.IFS(I376 = "Rob", "Robusta", I376 = "Exc", "Excelsa", I376 = "Ara", "Arabica", I376 = "Lib", "Liberica")</f>
        <v>Liberica</v>
      </c>
      <c r="O376" t="str">
        <f t="shared" si="11"/>
        <v>Light</v>
      </c>
      <c r="P376" t="str">
        <f>_xlfn.XLOOKUP(orders[[#This Row],[Customer ID]],customers!$A$1:$A$1001,customers!$I$1:$I$1001)</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 = 0, "", 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0"/>
        <v>6.75</v>
      </c>
      <c r="N377" t="str" cm="1">
        <f t="array" ref="N377">_xlfn.IFS(I377 = "Rob", "Robusta", I377 = "Exc", "Excelsa", I377 = "Ara", "Arabica", I377 = "Lib", "Liberica")</f>
        <v>Arabica</v>
      </c>
      <c r="O377" t="str">
        <f t="shared" si="11"/>
        <v>Medium</v>
      </c>
      <c r="P377" t="str">
        <f>_xlfn.XLOOKUP(orders[[#This Row],[Customer ID]],customers!$A$1:$A$1001,customers!$I$1:$I$1001)</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 = 0, "", 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0"/>
        <v>5.97</v>
      </c>
      <c r="N378" t="str" cm="1">
        <f t="array" ref="N378">_xlfn.IFS(I378 = "Rob", "Robusta", I378 = "Exc", "Excelsa", I378 = "Ara", "Arabica", I378 = "Lib", "Liberica")</f>
        <v>Robusta</v>
      </c>
      <c r="O378" t="str">
        <f t="shared" si="11"/>
        <v>Medium</v>
      </c>
      <c r="P378" t="str">
        <f>_xlfn.XLOOKUP(orders[[#This Row],[Customer ID]],customers!$A$1:$A$1001,customers!$I$1:$I$1001)</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 = 0, "", 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0"/>
        <v>8.0549999999999997</v>
      </c>
      <c r="N379" t="str" cm="1">
        <f t="array" ref="N379">_xlfn.IFS(I379 = "Rob", "Robusta", I379 = "Exc", "Excelsa", I379 = "Ara", "Arabica", I379 = "Lib", "Liberica")</f>
        <v>Robusta</v>
      </c>
      <c r="O379" t="str">
        <f t="shared" si="11"/>
        <v>Dark</v>
      </c>
      <c r="P379" t="str">
        <f>_xlfn.XLOOKUP(orders[[#This Row],[Customer ID]],customers!$A$1:$A$1001,customers!$I$1:$I$1001)</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 = 0, "", 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0"/>
        <v>23.31</v>
      </c>
      <c r="N380" t="str" cm="1">
        <f t="array" ref="N380">_xlfn.IFS(I380 = "Rob", "Robusta", I380 = "Exc", "Excelsa", I380 = "Ara", "Arabica", I380 = "Lib", "Liberica")</f>
        <v>Arabica</v>
      </c>
      <c r="O380" t="str">
        <f t="shared" si="11"/>
        <v>Light</v>
      </c>
      <c r="P380" t="str">
        <f>_xlfn.XLOOKUP(orders[[#This Row],[Customer ID]],customers!$A$1:$A$1001,customers!$I$1:$I$1001)</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 = 0, "", 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0"/>
        <v>43.019999999999996</v>
      </c>
      <c r="N381" t="str" cm="1">
        <f t="array" ref="N381">_xlfn.IFS(I381 = "Rob", "Robusta", I381 = "Exc", "Excelsa", I381 = "Ara", "Arabica", I381 = "Lib", "Liberica")</f>
        <v>Robusta</v>
      </c>
      <c r="O381" t="str">
        <f t="shared" si="11"/>
        <v>Light</v>
      </c>
      <c r="P381" t="str">
        <f>_xlfn.XLOOKUP(orders[[#This Row],[Customer ID]],customers!$A$1:$A$1001,customers!$I$1:$I$1001)</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 = 0, "", 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0"/>
        <v>23.31</v>
      </c>
      <c r="N382" t="str" cm="1">
        <f t="array" ref="N382">_xlfn.IFS(I382 = "Rob", "Robusta", I382 = "Exc", "Excelsa", I382 = "Ara", "Arabica", I382 = "Lib", "Liberica")</f>
        <v>Liberica</v>
      </c>
      <c r="O382" t="str">
        <f t="shared" si="11"/>
        <v>Dark</v>
      </c>
      <c r="P382" t="str">
        <f>_xlfn.XLOOKUP(orders[[#This Row],[Customer ID]],customers!$A$1:$A$1001,customers!$I$1:$I$1001)</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 = 0, "", 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0"/>
        <v>14.924999999999999</v>
      </c>
      <c r="N383" t="str" cm="1">
        <f t="array" ref="N383">_xlfn.IFS(I383 = "Rob", "Robusta", I383 = "Exc", "Excelsa", I383 = "Ara", "Arabica", I383 = "Lib", "Liberica")</f>
        <v>Arabica</v>
      </c>
      <c r="O383" t="str">
        <f t="shared" si="11"/>
        <v>Dark</v>
      </c>
      <c r="P383" t="str">
        <f>_xlfn.XLOOKUP(orders[[#This Row],[Customer ID]],customers!$A$1:$A$1001,customers!$I$1:$I$1001)</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 = 0, "", 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0"/>
        <v>21.87</v>
      </c>
      <c r="N384" t="str" cm="1">
        <f t="array" ref="N384">_xlfn.IFS(I384 = "Rob", "Robusta", I384 = "Exc", "Excelsa", I384 = "Ara", "Arabica", I384 = "Lib", "Liberica")</f>
        <v>Excelsa</v>
      </c>
      <c r="O384" t="str">
        <f t="shared" si="11"/>
        <v>Dark</v>
      </c>
      <c r="P384" t="str">
        <f>_xlfn.XLOOKUP(orders[[#This Row],[Customer ID]],customers!$A$1:$A$1001,customers!$I$1:$I$1001)</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 = 0, "", 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0"/>
        <v>53.46</v>
      </c>
      <c r="N385" t="str" cm="1">
        <f t="array" ref="N385">_xlfn.IFS(I385 = "Rob", "Robusta", I385 = "Exc", "Excelsa", I385 = "Ara", "Arabica", I385 = "Lib", "Liberica")</f>
        <v>Excelsa</v>
      </c>
      <c r="O385" t="str">
        <f t="shared" si="11"/>
        <v>Light</v>
      </c>
      <c r="P385" t="str">
        <f>_xlfn.XLOOKUP(orders[[#This Row],[Customer ID]],customers!$A$1:$A$1001,customers!$I$1:$I$1001)</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 = 0, "", 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0"/>
        <v>119.13999999999999</v>
      </c>
      <c r="N386" t="str" cm="1">
        <f t="array" ref="N386">_xlfn.IFS(I386 = "Rob", "Robusta", I386 = "Exc", "Excelsa", I386 = "Ara", "Arabica", I386 = "Lib", "Liberica")</f>
        <v>Arabica</v>
      </c>
      <c r="O386" t="str">
        <f t="shared" si="11"/>
        <v>Light</v>
      </c>
      <c r="P386" t="str">
        <f>_xlfn.XLOOKUP(orders[[#This Row],[Customer ID]],customers!$A$1:$A$1001,customers!$I$1:$I$1001)</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 = 0, "", 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2">SUM(L387*E387)</f>
        <v>43.650000000000006</v>
      </c>
      <c r="N387" t="str" cm="1">
        <f t="array" ref="N387">_xlfn.IFS(I387 = "Rob", "Robusta", I387 = "Exc", "Excelsa", I387 = "Ara", "Arabica", I387 = "Lib", "Liberica")</f>
        <v>Liberica</v>
      </c>
      <c r="O387" t="str">
        <f t="shared" ref="O387:O450" si="13">IF(J387 = "M", "Medium", IF(J387= "L", "Light",IF( J387 = "D", "Dark")))</f>
        <v>Medium</v>
      </c>
      <c r="P387" t="str">
        <f>_xlfn.XLOOKUP(orders[[#This Row],[Customer ID]],customers!$A$1:$A$1001,customers!$I$1:$I$1001)</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 = 0, "", 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2"/>
        <v>17.91</v>
      </c>
      <c r="N388" t="str" cm="1">
        <f t="array" ref="N388">_xlfn.IFS(I388 = "Rob", "Robusta", I388 = "Exc", "Excelsa", I388 = "Ara", "Arabica", I388 = "Lib", "Liberica")</f>
        <v>Arabica</v>
      </c>
      <c r="O388" t="str">
        <f t="shared" si="13"/>
        <v>Dark</v>
      </c>
      <c r="P388" t="str">
        <f>_xlfn.XLOOKUP(orders[[#This Row],[Customer ID]],customers!$A$1:$A$1001,customers!$I$1:$I$1001)</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 = 0, "", 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2"/>
        <v>74.25</v>
      </c>
      <c r="N389" t="str" cm="1">
        <f t="array" ref="N389">_xlfn.IFS(I389 = "Rob", "Robusta", I389 = "Exc", "Excelsa", I389 = "Ara", "Arabica", I389 = "Lib", "Liberica")</f>
        <v>Excelsa</v>
      </c>
      <c r="O389" t="str">
        <f t="shared" si="13"/>
        <v>Light</v>
      </c>
      <c r="P389" t="str">
        <f>_xlfn.XLOOKUP(orders[[#This Row],[Customer ID]],customers!$A$1:$A$1001,customers!$I$1:$I$1001)</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 = 0, "", 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2"/>
        <v>11.654999999999999</v>
      </c>
      <c r="N390" t="str" cm="1">
        <f t="array" ref="N390">_xlfn.IFS(I390 = "Rob", "Robusta", I390 = "Exc", "Excelsa", I390 = "Ara", "Arabica", I390 = "Lib", "Liberica")</f>
        <v>Liberica</v>
      </c>
      <c r="O390" t="str">
        <f t="shared" si="13"/>
        <v>Dark</v>
      </c>
      <c r="P390" t="str">
        <f>_xlfn.XLOOKUP(orders[[#This Row],[Customer ID]],customers!$A$1:$A$1001,customers!$I$1:$I$1001)</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 = 0, "", 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2"/>
        <v>23.31</v>
      </c>
      <c r="N391" t="str" cm="1">
        <f t="array" ref="N391">_xlfn.IFS(I391 = "Rob", "Robusta", I391 = "Exc", "Excelsa", I391 = "Ara", "Arabica", I391 = "Lib", "Liberica")</f>
        <v>Liberica</v>
      </c>
      <c r="O391" t="str">
        <f t="shared" si="13"/>
        <v>Dark</v>
      </c>
      <c r="P391" t="str">
        <f>_xlfn.XLOOKUP(orders[[#This Row],[Customer ID]],customers!$A$1:$A$1001,customers!$I$1:$I$1001)</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 = 0, "", 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2"/>
        <v>14.58</v>
      </c>
      <c r="N392" t="str" cm="1">
        <f t="array" ref="N392">_xlfn.IFS(I392 = "Rob", "Robusta", I392 = "Exc", "Excelsa", I392 = "Ara", "Arabica", I392 = "Lib", "Liberica")</f>
        <v>Excelsa</v>
      </c>
      <c r="O392" t="str">
        <f t="shared" si="13"/>
        <v>Dark</v>
      </c>
      <c r="P392" t="str">
        <f>_xlfn.XLOOKUP(orders[[#This Row],[Customer ID]],customers!$A$1:$A$1001,customers!$I$1:$I$1001)</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 = 0, "", 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2"/>
        <v>13.5</v>
      </c>
      <c r="N393" t="str" cm="1">
        <f t="array" ref="N393">_xlfn.IFS(I393 = "Rob", "Robusta", I393 = "Exc", "Excelsa", I393 = "Ara", "Arabica", I393 = "Lib", "Liberica")</f>
        <v>Arabica</v>
      </c>
      <c r="O393" t="str">
        <f t="shared" si="13"/>
        <v>Medium</v>
      </c>
      <c r="P393" t="str">
        <f>_xlfn.XLOOKUP(orders[[#This Row],[Customer ID]],customers!$A$1:$A$1001,customers!$I$1:$I$1001)</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 = 0, "", 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2"/>
        <v>89.1</v>
      </c>
      <c r="N394" t="str" cm="1">
        <f t="array" ref="N394">_xlfn.IFS(I394 = "Rob", "Robusta", I394 = "Exc", "Excelsa", I394 = "Ara", "Arabica", I394 = "Lib", "Liberica")</f>
        <v>Excelsa</v>
      </c>
      <c r="O394" t="str">
        <f t="shared" si="13"/>
        <v>Light</v>
      </c>
      <c r="P394" t="str">
        <f>_xlfn.XLOOKUP(orders[[#This Row],[Customer ID]],customers!$A$1:$A$1001,customers!$I$1:$I$1001)</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 = 0, "", 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2"/>
        <v>3.8849999999999998</v>
      </c>
      <c r="N395" t="str" cm="1">
        <f t="array" ref="N395">_xlfn.IFS(I395 = "Rob", "Robusta", I395 = "Exc", "Excelsa", I395 = "Ara", "Arabica", I395 = "Lib", "Liberica")</f>
        <v>Arabica</v>
      </c>
      <c r="O395" t="str">
        <f t="shared" si="13"/>
        <v>Light</v>
      </c>
      <c r="P395" t="str">
        <f>_xlfn.XLOOKUP(orders[[#This Row],[Customer ID]],customers!$A$1:$A$1001,customers!$I$1:$I$1001)</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 = 0, "", 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2"/>
        <v>109.93999999999998</v>
      </c>
      <c r="N396" t="str" cm="1">
        <f t="array" ref="N396">_xlfn.IFS(I396 = "Rob", "Robusta", I396 = "Exc", "Excelsa", I396 = "Ara", "Arabica", I396 = "Lib", "Liberica")</f>
        <v>Robusta</v>
      </c>
      <c r="O396" t="str">
        <f t="shared" si="13"/>
        <v>Light</v>
      </c>
      <c r="P396" t="str">
        <f>_xlfn.XLOOKUP(orders[[#This Row],[Customer ID]],customers!$A$1:$A$1001,customers!$I$1:$I$1001)</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 = 0, "", 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2"/>
        <v>46.62</v>
      </c>
      <c r="N397" t="str" cm="1">
        <f t="array" ref="N397">_xlfn.IFS(I397 = "Rob", "Robusta", I397 = "Exc", "Excelsa", I397 = "Ara", "Arabica", I397 = "Lib", "Liberica")</f>
        <v>Liberica</v>
      </c>
      <c r="O397" t="str">
        <f t="shared" si="13"/>
        <v>Dark</v>
      </c>
      <c r="P397" t="str">
        <f>_xlfn.XLOOKUP(orders[[#This Row],[Customer ID]],customers!$A$1:$A$1001,customers!$I$1:$I$1001)</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 = 0, "", 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2"/>
        <v>38.849999999999994</v>
      </c>
      <c r="N398" t="str" cm="1">
        <f t="array" ref="N398">_xlfn.IFS(I398 = "Rob", "Robusta", I398 = "Exc", "Excelsa", I398 = "Ara", "Arabica", I398 = "Lib", "Liberica")</f>
        <v>Arabica</v>
      </c>
      <c r="O398" t="str">
        <f t="shared" si="13"/>
        <v>Light</v>
      </c>
      <c r="P398" t="str">
        <f>_xlfn.XLOOKUP(orders[[#This Row],[Customer ID]],customers!$A$1:$A$1001,customers!$I$1:$I$1001)</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 = 0, "", 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2"/>
        <v>31.08</v>
      </c>
      <c r="N399" t="str" cm="1">
        <f t="array" ref="N399">_xlfn.IFS(I399 = "Rob", "Robusta", I399 = "Exc", "Excelsa", I399 = "Ara", "Arabica", I399 = "Lib", "Liberica")</f>
        <v>Liberica</v>
      </c>
      <c r="O399" t="str">
        <f t="shared" si="13"/>
        <v>Dark</v>
      </c>
      <c r="P399" t="str">
        <f>_xlfn.XLOOKUP(orders[[#This Row],[Customer ID]],customers!$A$1:$A$1001,customers!$I$1:$I$1001)</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 = 0, "", 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2"/>
        <v>17.91</v>
      </c>
      <c r="N400" t="str" cm="1">
        <f t="array" ref="N400">_xlfn.IFS(I400 = "Rob", "Robusta", I400 = "Exc", "Excelsa", I400 = "Ara", "Arabica", I400 = "Lib", "Liberica")</f>
        <v>Arabica</v>
      </c>
      <c r="O400" t="str">
        <f t="shared" si="13"/>
        <v>Dark</v>
      </c>
      <c r="P400" t="str">
        <f>_xlfn.XLOOKUP(orders[[#This Row],[Customer ID]],customers!$A$1:$A$1001,customers!$I$1:$I$1001)</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 = 0, "", 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2"/>
        <v>167.67000000000002</v>
      </c>
      <c r="N401" t="str" cm="1">
        <f t="array" ref="N401">_xlfn.IFS(I401 = "Rob", "Robusta", I401 = "Exc", "Excelsa", I401 = "Ara", "Arabica", I401 = "Lib", "Liberica")</f>
        <v>Excelsa</v>
      </c>
      <c r="O401" t="str">
        <f t="shared" si="13"/>
        <v>Dark</v>
      </c>
      <c r="P401" t="str">
        <f>_xlfn.XLOOKUP(orders[[#This Row],[Customer ID]],customers!$A$1:$A$1001,customers!$I$1:$I$1001)</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 = 0, "", 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2"/>
        <v>63.4</v>
      </c>
      <c r="N402" t="str" cm="1">
        <f t="array" ref="N402">_xlfn.IFS(I402 = "Rob", "Robusta", I402 = "Exc", "Excelsa", I402 = "Ara", "Arabica", I402 = "Lib", "Liberica")</f>
        <v>Liberica</v>
      </c>
      <c r="O402" t="str">
        <f t="shared" si="13"/>
        <v>Light</v>
      </c>
      <c r="P402" t="str">
        <f>_xlfn.XLOOKUP(orders[[#This Row],[Customer ID]],customers!$A$1:$A$1001,customers!$I$1:$I$1001)</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 = 0, "", 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2"/>
        <v>8.73</v>
      </c>
      <c r="N403" t="str" cm="1">
        <f t="array" ref="N403">_xlfn.IFS(I403 = "Rob", "Robusta", I403 = "Exc", "Excelsa", I403 = "Ara", "Arabica", I403 = "Lib", "Liberica")</f>
        <v>Liberica</v>
      </c>
      <c r="O403" t="str">
        <f t="shared" si="13"/>
        <v>Medium</v>
      </c>
      <c r="P403" t="str">
        <f>_xlfn.XLOOKUP(orders[[#This Row],[Customer ID]],customers!$A$1:$A$1001,customers!$I$1:$I$1001)</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 = 0, "", 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2"/>
        <v>26.849999999999998</v>
      </c>
      <c r="N404" t="str" cm="1">
        <f t="array" ref="N404">_xlfn.IFS(I404 = "Rob", "Robusta", I404 = "Exc", "Excelsa", I404 = "Ara", "Arabica", I404 = "Lib", "Liberica")</f>
        <v>Robusta</v>
      </c>
      <c r="O404" t="str">
        <f t="shared" si="13"/>
        <v>Dark</v>
      </c>
      <c r="P404" t="str">
        <f>_xlfn.XLOOKUP(orders[[#This Row],[Customer ID]],customers!$A$1:$A$1001,customers!$I$1:$I$1001)</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 = 0, "", 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2"/>
        <v>9.51</v>
      </c>
      <c r="N405" t="str" cm="1">
        <f t="array" ref="N405">_xlfn.IFS(I405 = "Rob", "Robusta", I405 = "Exc", "Excelsa", I405 = "Ara", "Arabica", I405 = "Lib", "Liberica")</f>
        <v>Liberica</v>
      </c>
      <c r="O405" t="str">
        <f t="shared" si="13"/>
        <v>Light</v>
      </c>
      <c r="P405" t="str">
        <f>_xlfn.XLOOKUP(orders[[#This Row],[Customer ID]],customers!$A$1:$A$1001,customers!$I$1:$I$1001)</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 = 0, "", 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2"/>
        <v>39.799999999999997</v>
      </c>
      <c r="N406" t="str" cm="1">
        <f t="array" ref="N406">_xlfn.IFS(I406 = "Rob", "Robusta", I406 = "Exc", "Excelsa", I406 = "Ara", "Arabica", I406 = "Lib", "Liberica")</f>
        <v>Arabica</v>
      </c>
      <c r="O406" t="str">
        <f t="shared" si="13"/>
        <v>Dark</v>
      </c>
      <c r="P406" t="str">
        <f>_xlfn.XLOOKUP(orders[[#This Row],[Customer ID]],customers!$A$1:$A$1001,customers!$I$1:$I$1001)</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 = 0, "", 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2"/>
        <v>24.75</v>
      </c>
      <c r="N407" t="str" cm="1">
        <f t="array" ref="N407">_xlfn.IFS(I407 = "Rob", "Robusta", I407 = "Exc", "Excelsa", I407 = "Ara", "Arabica", I407 = "Lib", "Liberica")</f>
        <v>Excelsa</v>
      </c>
      <c r="O407" t="str">
        <f t="shared" si="13"/>
        <v>Medium</v>
      </c>
      <c r="P407" t="str">
        <f>_xlfn.XLOOKUP(orders[[#This Row],[Customer ID]],customers!$A$1:$A$1001,customers!$I$1:$I$1001)</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 = 0, "", 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2"/>
        <v>68.75</v>
      </c>
      <c r="N408" t="str" cm="1">
        <f t="array" ref="N408">_xlfn.IFS(I408 = "Rob", "Robusta", I408 = "Exc", "Excelsa", I408 = "Ara", "Arabica", I408 = "Lib", "Liberica")</f>
        <v>Excelsa</v>
      </c>
      <c r="O408" t="str">
        <f t="shared" si="13"/>
        <v>Medium</v>
      </c>
      <c r="P408" t="str">
        <f>_xlfn.XLOOKUP(orders[[#This Row],[Customer ID]],customers!$A$1:$A$1001,customers!$I$1:$I$1001)</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 = 0, "", 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2"/>
        <v>49.5</v>
      </c>
      <c r="N409" t="str" cm="1">
        <f t="array" ref="N409">_xlfn.IFS(I409 = "Rob", "Robusta", I409 = "Exc", "Excelsa", I409 = "Ara", "Arabica", I409 = "Lib", "Liberica")</f>
        <v>Excelsa</v>
      </c>
      <c r="O409" t="str">
        <f t="shared" si="13"/>
        <v>Medium</v>
      </c>
      <c r="P409" t="str">
        <f>_xlfn.XLOOKUP(orders[[#This Row],[Customer ID]],customers!$A$1:$A$1001,customers!$I$1:$I$1001)</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 = 0, "", 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2"/>
        <v>51.749999999999993</v>
      </c>
      <c r="N410" t="str" cm="1">
        <f t="array" ref="N410">_xlfn.IFS(I410 = "Rob", "Robusta", I410 = "Exc", "Excelsa", I410 = "Ara", "Arabica", I410 = "Lib", "Liberica")</f>
        <v>Arabica</v>
      </c>
      <c r="O410" t="str">
        <f t="shared" si="13"/>
        <v>Medium</v>
      </c>
      <c r="P410" t="str">
        <f>_xlfn.XLOOKUP(orders[[#This Row],[Customer ID]],customers!$A$1:$A$1001,customers!$I$1:$I$1001)</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 = 0, "", 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2"/>
        <v>47.55</v>
      </c>
      <c r="N411" t="str" cm="1">
        <f t="array" ref="N411">_xlfn.IFS(I411 = "Rob", "Robusta", I411 = "Exc", "Excelsa", I411 = "Ara", "Arabica", I411 = "Lib", "Liberica")</f>
        <v>Liberica</v>
      </c>
      <c r="O411" t="str">
        <f t="shared" si="13"/>
        <v>Light</v>
      </c>
      <c r="P411" t="str">
        <f>_xlfn.XLOOKUP(orders[[#This Row],[Customer ID]],customers!$A$1:$A$1001,customers!$I$1:$I$1001)</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 = 0, "", 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2"/>
        <v>15.54</v>
      </c>
      <c r="N412" t="str" cm="1">
        <f t="array" ref="N412">_xlfn.IFS(I412 = "Rob", "Robusta", I412 = "Exc", "Excelsa", I412 = "Ara", "Arabica", I412 = "Lib", "Liberica")</f>
        <v>Arabica</v>
      </c>
      <c r="O412" t="str">
        <f t="shared" si="13"/>
        <v>Light</v>
      </c>
      <c r="P412" t="str">
        <f>_xlfn.XLOOKUP(orders[[#This Row],[Customer ID]],customers!$A$1:$A$1001,customers!$I$1:$I$1001)</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 = 0, "", 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2"/>
        <v>87.300000000000011</v>
      </c>
      <c r="N413" t="str" cm="1">
        <f t="array" ref="N413">_xlfn.IFS(I413 = "Rob", "Robusta", I413 = "Exc", "Excelsa", I413 = "Ara", "Arabica", I413 = "Lib", "Liberica")</f>
        <v>Liberica</v>
      </c>
      <c r="O413" t="str">
        <f t="shared" si="13"/>
        <v>Medium</v>
      </c>
      <c r="P413" t="str">
        <f>_xlfn.XLOOKUP(orders[[#This Row],[Customer ID]],customers!$A$1:$A$1001,customers!$I$1:$I$1001)</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 = 0, "", 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2"/>
        <v>56.25</v>
      </c>
      <c r="N414" t="str" cm="1">
        <f t="array" ref="N414">_xlfn.IFS(I414 = "Rob", "Robusta", I414 = "Exc", "Excelsa", I414 = "Ara", "Arabica", I414 = "Lib", "Liberica")</f>
        <v>Arabica</v>
      </c>
      <c r="O414" t="str">
        <f t="shared" si="13"/>
        <v>Medium</v>
      </c>
      <c r="P414" t="str">
        <f>_xlfn.XLOOKUP(orders[[#This Row],[Customer ID]],customers!$A$1:$A$1001,customers!$I$1:$I$1001)</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 = 0, "", 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2"/>
        <v>36.454999999999998</v>
      </c>
      <c r="N415" t="str" cm="1">
        <f t="array" ref="N415">_xlfn.IFS(I415 = "Rob", "Robusta", I415 = "Exc", "Excelsa", I415 = "Ara", "Arabica", I415 = "Lib", "Liberica")</f>
        <v>Liberica</v>
      </c>
      <c r="O415" t="str">
        <f t="shared" si="13"/>
        <v>Light</v>
      </c>
      <c r="P415" t="str">
        <f>_xlfn.XLOOKUP(orders[[#This Row],[Customer ID]],customers!$A$1:$A$1001,customers!$I$1:$I$1001)</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 = 0, "", 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2"/>
        <v>10.754999999999999</v>
      </c>
      <c r="N416" t="str" cm="1">
        <f t="array" ref="N416">_xlfn.IFS(I416 = "Rob", "Robusta", I416 = "Exc", "Excelsa", I416 = "Ara", "Arabica", I416 = "Lib", "Liberica")</f>
        <v>Robusta</v>
      </c>
      <c r="O416" t="str">
        <f t="shared" si="13"/>
        <v>Light</v>
      </c>
      <c r="P416" t="str">
        <f>_xlfn.XLOOKUP(orders[[#This Row],[Customer ID]],customers!$A$1:$A$1001,customers!$I$1:$I$1001)</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 = 0, "", 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2"/>
        <v>8.9550000000000001</v>
      </c>
      <c r="N417" t="str" cm="1">
        <f t="array" ref="N417">_xlfn.IFS(I417 = "Rob", "Robusta", I417 = "Exc", "Excelsa", I417 = "Ara", "Arabica", I417 = "Lib", "Liberica")</f>
        <v>Robusta</v>
      </c>
      <c r="O417" t="str">
        <f t="shared" si="13"/>
        <v>Medium</v>
      </c>
      <c r="P417" t="str">
        <f>_xlfn.XLOOKUP(orders[[#This Row],[Customer ID]],customers!$A$1:$A$1001,customers!$I$1:$I$1001)</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 = 0, "", 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2"/>
        <v>23.31</v>
      </c>
      <c r="N418" t="str" cm="1">
        <f t="array" ref="N418">_xlfn.IFS(I418 = "Rob", "Robusta", I418 = "Exc", "Excelsa", I418 = "Ara", "Arabica", I418 = "Lib", "Liberica")</f>
        <v>Arabica</v>
      </c>
      <c r="O418" t="str">
        <f t="shared" si="13"/>
        <v>Light</v>
      </c>
      <c r="P418" t="str">
        <f>_xlfn.XLOOKUP(orders[[#This Row],[Customer ID]],customers!$A$1:$A$1001,customers!$I$1:$I$1001)</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 = 0, "", 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2"/>
        <v>29.784999999999997</v>
      </c>
      <c r="N419" t="str" cm="1">
        <f t="array" ref="N419">_xlfn.IFS(I419 = "Rob", "Robusta", I419 = "Exc", "Excelsa", I419 = "Ara", "Arabica", I419 = "Lib", "Liberica")</f>
        <v>Arabica</v>
      </c>
      <c r="O419" t="str">
        <f t="shared" si="13"/>
        <v>Light</v>
      </c>
      <c r="P419" t="str">
        <f>_xlfn.XLOOKUP(orders[[#This Row],[Customer ID]],customers!$A$1:$A$1001,customers!$I$1:$I$1001)</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 = 0, "", 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2"/>
        <v>148.92499999999998</v>
      </c>
      <c r="N420" t="str" cm="1">
        <f t="array" ref="N420">_xlfn.IFS(I420 = "Rob", "Robusta", I420 = "Exc", "Excelsa", I420 = "Ara", "Arabica", I420 = "Lib", "Liberica")</f>
        <v>Arabica</v>
      </c>
      <c r="O420" t="str">
        <f t="shared" si="13"/>
        <v>Light</v>
      </c>
      <c r="P420" t="str">
        <f>_xlfn.XLOOKUP(orders[[#This Row],[Customer ID]],customers!$A$1:$A$1001,customers!$I$1:$I$1001)</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 = 0, "", 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2"/>
        <v>8.73</v>
      </c>
      <c r="N421" t="str" cm="1">
        <f t="array" ref="N421">_xlfn.IFS(I421 = "Rob", "Robusta", I421 = "Exc", "Excelsa", I421 = "Ara", "Arabica", I421 = "Lib", "Liberica")</f>
        <v>Liberica</v>
      </c>
      <c r="O421" t="str">
        <f t="shared" si="13"/>
        <v>Medium</v>
      </c>
      <c r="P421" t="str">
        <f>_xlfn.XLOOKUP(orders[[#This Row],[Customer ID]],customers!$A$1:$A$1001,customers!$I$1:$I$1001)</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 = 0, "", 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2"/>
        <v>31.08</v>
      </c>
      <c r="N422" t="str" cm="1">
        <f t="array" ref="N422">_xlfn.IFS(I422 = "Rob", "Robusta", I422 = "Exc", "Excelsa", I422 = "Ara", "Arabica", I422 = "Lib", "Liberica")</f>
        <v>Liberica</v>
      </c>
      <c r="O422" t="str">
        <f t="shared" si="13"/>
        <v>Dark</v>
      </c>
      <c r="P422" t="str">
        <f>_xlfn.XLOOKUP(orders[[#This Row],[Customer ID]],customers!$A$1:$A$1001,customers!$I$1:$I$1001)</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 = 0, "", 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2"/>
        <v>137.31</v>
      </c>
      <c r="N423" t="str" cm="1">
        <f t="array" ref="N423">_xlfn.IFS(I423 = "Rob", "Robusta", I423 = "Exc", "Excelsa", I423 = "Ara", "Arabica", I423 = "Lib", "Liberica")</f>
        <v>Arabica</v>
      </c>
      <c r="O423" t="str">
        <f t="shared" si="13"/>
        <v>Dark</v>
      </c>
      <c r="P423" t="str">
        <f>_xlfn.XLOOKUP(orders[[#This Row],[Customer ID]],customers!$A$1:$A$1001,customers!$I$1:$I$1001)</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 = 0, "", 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2"/>
        <v>29.849999999999998</v>
      </c>
      <c r="N424" t="str" cm="1">
        <f t="array" ref="N424">_xlfn.IFS(I424 = "Rob", "Robusta", I424 = "Exc", "Excelsa", I424 = "Ara", "Arabica", I424 = "Lib", "Liberica")</f>
        <v>Arabica</v>
      </c>
      <c r="O424" t="str">
        <f t="shared" si="13"/>
        <v>Dark</v>
      </c>
      <c r="P424" t="str">
        <f>_xlfn.XLOOKUP(orders[[#This Row],[Customer ID]],customers!$A$1:$A$1001,customers!$I$1:$I$1001)</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 = 0, "", 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2"/>
        <v>17.91</v>
      </c>
      <c r="N425" t="str" cm="1">
        <f t="array" ref="N425">_xlfn.IFS(I425 = "Rob", "Robusta", I425 = "Exc", "Excelsa", I425 = "Ara", "Arabica", I425 = "Lib", "Liberica")</f>
        <v>Robusta</v>
      </c>
      <c r="O425" t="str">
        <f t="shared" si="13"/>
        <v>Medium</v>
      </c>
      <c r="P425" t="str">
        <f>_xlfn.XLOOKUP(orders[[#This Row],[Customer ID]],customers!$A$1:$A$1001,customers!$I$1:$I$1001)</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 = 0, "", 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2"/>
        <v>26.73</v>
      </c>
      <c r="N426" t="str" cm="1">
        <f t="array" ref="N426">_xlfn.IFS(I426 = "Rob", "Robusta", I426 = "Exc", "Excelsa", I426 = "Ara", "Arabica", I426 = "Lib", "Liberica")</f>
        <v>Excelsa</v>
      </c>
      <c r="O426" t="str">
        <f t="shared" si="13"/>
        <v>Light</v>
      </c>
      <c r="P426" t="str">
        <f>_xlfn.XLOOKUP(orders[[#This Row],[Customer ID]],customers!$A$1:$A$1001,customers!$I$1:$I$1001)</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 = 0, "", 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2"/>
        <v>17.899999999999999</v>
      </c>
      <c r="N427" t="str" cm="1">
        <f t="array" ref="N427">_xlfn.IFS(I427 = "Rob", "Robusta", I427 = "Exc", "Excelsa", I427 = "Ara", "Arabica", I427 = "Lib", "Liberica")</f>
        <v>Robusta</v>
      </c>
      <c r="O427" t="str">
        <f t="shared" si="13"/>
        <v>Dark</v>
      </c>
      <c r="P427" t="str">
        <f>_xlfn.XLOOKUP(orders[[#This Row],[Customer ID]],customers!$A$1:$A$1001,customers!$I$1:$I$1001)</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 = 0, "", 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2"/>
        <v>14.339999999999998</v>
      </c>
      <c r="N428" t="str" cm="1">
        <f t="array" ref="N428">_xlfn.IFS(I428 = "Rob", "Robusta", I428 = "Exc", "Excelsa", I428 = "Ara", "Arabica", I428 = "Lib", "Liberica")</f>
        <v>Robusta</v>
      </c>
      <c r="O428" t="str">
        <f t="shared" si="13"/>
        <v>Light</v>
      </c>
      <c r="P428" t="str">
        <f>_xlfn.XLOOKUP(orders[[#This Row],[Customer ID]],customers!$A$1:$A$1001,customers!$I$1:$I$1001)</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 = 0, "", 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2"/>
        <v>77.624999999999986</v>
      </c>
      <c r="N429" t="str" cm="1">
        <f t="array" ref="N429">_xlfn.IFS(I429 = "Rob", "Robusta", I429 = "Exc", "Excelsa", I429 = "Ara", "Arabica", I429 = "Lib", "Liberica")</f>
        <v>Arabica</v>
      </c>
      <c r="O429" t="str">
        <f t="shared" si="13"/>
        <v>Medium</v>
      </c>
      <c r="P429" t="str">
        <f>_xlfn.XLOOKUP(orders[[#This Row],[Customer ID]],customers!$A$1:$A$1001,customers!$I$1:$I$1001)</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 = 0, "", 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2"/>
        <v>59.75</v>
      </c>
      <c r="N430" t="str" cm="1">
        <f t="array" ref="N430">_xlfn.IFS(I430 = "Rob", "Robusta", I430 = "Exc", "Excelsa", I430 = "Ara", "Arabica", I430 = "Lib", "Liberica")</f>
        <v>Robusta</v>
      </c>
      <c r="O430" t="str">
        <f t="shared" si="13"/>
        <v>Light</v>
      </c>
      <c r="P430" t="str">
        <f>_xlfn.XLOOKUP(orders[[#This Row],[Customer ID]],customers!$A$1:$A$1001,customers!$I$1:$I$1001)</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 = 0, "", 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2"/>
        <v>77.699999999999989</v>
      </c>
      <c r="N431" t="str" cm="1">
        <f t="array" ref="N431">_xlfn.IFS(I431 = "Rob", "Robusta", I431 = "Exc", "Excelsa", I431 = "Ara", "Arabica", I431 = "Lib", "Liberica")</f>
        <v>Arabica</v>
      </c>
      <c r="O431" t="str">
        <f t="shared" si="13"/>
        <v>Light</v>
      </c>
      <c r="P431" t="str">
        <f>_xlfn.XLOOKUP(orders[[#This Row],[Customer ID]],customers!$A$1:$A$1001,customers!$I$1:$I$1001)</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 = 0, "", 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2"/>
        <v>5.3699999999999992</v>
      </c>
      <c r="N432" t="str" cm="1">
        <f t="array" ref="N432">_xlfn.IFS(I432 = "Rob", "Robusta", I432 = "Exc", "Excelsa", I432 = "Ara", "Arabica", I432 = "Lib", "Liberica")</f>
        <v>Robusta</v>
      </c>
      <c r="O432" t="str">
        <f t="shared" si="13"/>
        <v>Dark</v>
      </c>
      <c r="P432" t="str">
        <f>_xlfn.XLOOKUP(orders[[#This Row],[Customer ID]],customers!$A$1:$A$1001,customers!$I$1:$I$1001)</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 = 0, "", 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2"/>
        <v>83.835000000000008</v>
      </c>
      <c r="N433" t="str" cm="1">
        <f t="array" ref="N433">_xlfn.IFS(I433 = "Rob", "Robusta", I433 = "Exc", "Excelsa", I433 = "Ara", "Arabica", I433 = "Lib", "Liberica")</f>
        <v>Excelsa</v>
      </c>
      <c r="O433" t="str">
        <f t="shared" si="13"/>
        <v>Dark</v>
      </c>
      <c r="P433" t="str">
        <f>_xlfn.XLOOKUP(orders[[#This Row],[Customer ID]],customers!$A$1:$A$1001,customers!$I$1:$I$1001)</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 = 0, "", 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2"/>
        <v>22.5</v>
      </c>
      <c r="N434" t="str" cm="1">
        <f t="array" ref="N434">_xlfn.IFS(I434 = "Rob", "Robusta", I434 = "Exc", "Excelsa", I434 = "Ara", "Arabica", I434 = "Lib", "Liberica")</f>
        <v>Arabica</v>
      </c>
      <c r="O434" t="str">
        <f t="shared" si="13"/>
        <v>Medium</v>
      </c>
      <c r="P434" t="str">
        <f>_xlfn.XLOOKUP(orders[[#This Row],[Customer ID]],customers!$A$1:$A$1001,customers!$I$1:$I$1001)</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 = 0, "", 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2"/>
        <v>200.78999999999996</v>
      </c>
      <c r="N435" t="str" cm="1">
        <f t="array" ref="N435">_xlfn.IFS(I435 = "Rob", "Robusta", I435 = "Exc", "Excelsa", I435 = "Ara", "Arabica", I435 = "Lib", "Liberica")</f>
        <v>Liberica</v>
      </c>
      <c r="O435" t="str">
        <f t="shared" si="13"/>
        <v>Medium</v>
      </c>
      <c r="P435" t="str">
        <f>_xlfn.XLOOKUP(orders[[#This Row],[Customer ID]],customers!$A$1:$A$1001,customers!$I$1:$I$1001)</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 = 0, "", 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2"/>
        <v>67.5</v>
      </c>
      <c r="N436" t="str" cm="1">
        <f t="array" ref="N436">_xlfn.IFS(I436 = "Rob", "Robusta", I436 = "Exc", "Excelsa", I436 = "Ara", "Arabica", I436 = "Lib", "Liberica")</f>
        <v>Arabica</v>
      </c>
      <c r="O436" t="str">
        <f t="shared" si="13"/>
        <v>Medium</v>
      </c>
      <c r="P436" t="str">
        <f>_xlfn.XLOOKUP(orders[[#This Row],[Customer ID]],customers!$A$1:$A$1001,customers!$I$1:$I$1001)</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 = 0, "", 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2"/>
        <v>8.25</v>
      </c>
      <c r="N437" t="str" cm="1">
        <f t="array" ref="N437">_xlfn.IFS(I437 = "Rob", "Robusta", I437 = "Exc", "Excelsa", I437 = "Ara", "Arabica", I437 = "Lib", "Liberica")</f>
        <v>Excelsa</v>
      </c>
      <c r="O437" t="str">
        <f t="shared" si="13"/>
        <v>Medium</v>
      </c>
      <c r="P437" t="str">
        <f>_xlfn.XLOOKUP(orders[[#This Row],[Customer ID]],customers!$A$1:$A$1001,customers!$I$1:$I$1001)</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 = 0, "", 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2"/>
        <v>9.51</v>
      </c>
      <c r="N438" t="str" cm="1">
        <f t="array" ref="N438">_xlfn.IFS(I438 = "Rob", "Robusta", I438 = "Exc", "Excelsa", I438 = "Ara", "Arabica", I438 = "Lib", "Liberica")</f>
        <v>Liberica</v>
      </c>
      <c r="O438" t="str">
        <f t="shared" si="13"/>
        <v>Light</v>
      </c>
      <c r="P438" t="str">
        <f>_xlfn.XLOOKUP(orders[[#This Row],[Customer ID]],customers!$A$1:$A$1001,customers!$I$1:$I$1001)</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 = 0, "", 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2"/>
        <v>29.784999999999997</v>
      </c>
      <c r="N439" t="str" cm="1">
        <f t="array" ref="N439">_xlfn.IFS(I439 = "Rob", "Robusta", I439 = "Exc", "Excelsa", I439 = "Ara", "Arabica", I439 = "Lib", "Liberica")</f>
        <v>Liberica</v>
      </c>
      <c r="O439" t="str">
        <f t="shared" si="13"/>
        <v>Dark</v>
      </c>
      <c r="P439" t="str">
        <f>_xlfn.XLOOKUP(orders[[#This Row],[Customer ID]],customers!$A$1:$A$1001,customers!$I$1:$I$1001)</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 = 0, "", 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2"/>
        <v>15.54</v>
      </c>
      <c r="N440" t="str" cm="1">
        <f t="array" ref="N440">_xlfn.IFS(I440 = "Rob", "Robusta", I440 = "Exc", "Excelsa", I440 = "Ara", "Arabica", I440 = "Lib", "Liberica")</f>
        <v>Liberica</v>
      </c>
      <c r="O440" t="str">
        <f t="shared" si="13"/>
        <v>Dark</v>
      </c>
      <c r="P440" t="str">
        <f>_xlfn.XLOOKUP(orders[[#This Row],[Customer ID]],customers!$A$1:$A$1001,customers!$I$1:$I$1001)</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 = 0, "", 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2"/>
        <v>35.64</v>
      </c>
      <c r="N441" t="str" cm="1">
        <f t="array" ref="N441">_xlfn.IFS(I441 = "Rob", "Robusta", I441 = "Exc", "Excelsa", I441 = "Ara", "Arabica", I441 = "Lib", "Liberica")</f>
        <v>Excelsa</v>
      </c>
      <c r="O441" t="str">
        <f t="shared" si="13"/>
        <v>Light</v>
      </c>
      <c r="P441" t="str">
        <f>_xlfn.XLOOKUP(orders[[#This Row],[Customer ID]],customers!$A$1:$A$1001,customers!$I$1:$I$1001)</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 = 0, "", 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2"/>
        <v>103.49999999999999</v>
      </c>
      <c r="N442" t="str" cm="1">
        <f t="array" ref="N442">_xlfn.IFS(I442 = "Rob", "Robusta", I442 = "Exc", "Excelsa", I442 = "Ara", "Arabica", I442 = "Lib", "Liberica")</f>
        <v>Arabica</v>
      </c>
      <c r="O442" t="str">
        <f t="shared" si="13"/>
        <v>Medium</v>
      </c>
      <c r="P442" t="str">
        <f>_xlfn.XLOOKUP(orders[[#This Row],[Customer ID]],customers!$A$1:$A$1001,customers!$I$1:$I$1001)</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 = 0, "", 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2"/>
        <v>36.450000000000003</v>
      </c>
      <c r="N443" t="str" cm="1">
        <f t="array" ref="N443">_xlfn.IFS(I443 = "Rob", "Robusta", I443 = "Exc", "Excelsa", I443 = "Ara", "Arabica", I443 = "Lib", "Liberica")</f>
        <v>Excelsa</v>
      </c>
      <c r="O443" t="str">
        <f t="shared" si="13"/>
        <v>Dark</v>
      </c>
      <c r="P443" t="str">
        <f>_xlfn.XLOOKUP(orders[[#This Row],[Customer ID]],customers!$A$1:$A$1001,customers!$I$1:$I$1001)</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 = 0, "", 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2"/>
        <v>35.849999999999994</v>
      </c>
      <c r="N444" t="str" cm="1">
        <f t="array" ref="N444">_xlfn.IFS(I444 = "Rob", "Robusta", I444 = "Exc", "Excelsa", I444 = "Ara", "Arabica", I444 = "Lib", "Liberica")</f>
        <v>Robusta</v>
      </c>
      <c r="O444" t="str">
        <f t="shared" si="13"/>
        <v>Light</v>
      </c>
      <c r="P444" t="str">
        <f>_xlfn.XLOOKUP(orders[[#This Row],[Customer ID]],customers!$A$1:$A$1001,customers!$I$1:$I$1001)</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 = 0, "", 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2"/>
        <v>22.274999999999999</v>
      </c>
      <c r="N445" t="str" cm="1">
        <f t="array" ref="N445">_xlfn.IFS(I445 = "Rob", "Robusta", I445 = "Exc", "Excelsa", I445 = "Ara", "Arabica", I445 = "Lib", "Liberica")</f>
        <v>Excelsa</v>
      </c>
      <c r="O445" t="str">
        <f t="shared" si="13"/>
        <v>Light</v>
      </c>
      <c r="P445" t="str">
        <f>_xlfn.XLOOKUP(orders[[#This Row],[Customer ID]],customers!$A$1:$A$1001,customers!$I$1:$I$1001)</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 = 0, "", 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2"/>
        <v>24.75</v>
      </c>
      <c r="N446" t="str" cm="1">
        <f t="array" ref="N446">_xlfn.IFS(I446 = "Rob", "Robusta", I446 = "Exc", "Excelsa", I446 = "Ara", "Arabica", I446 = "Lib", "Liberica")</f>
        <v>Excelsa</v>
      </c>
      <c r="O446" t="str">
        <f t="shared" si="13"/>
        <v>Medium</v>
      </c>
      <c r="P446" t="str">
        <f>_xlfn.XLOOKUP(orders[[#This Row],[Customer ID]],customers!$A$1:$A$1001,customers!$I$1:$I$1001)</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 = 0, "", 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2"/>
        <v>66.929999999999993</v>
      </c>
      <c r="N447" t="str" cm="1">
        <f t="array" ref="N447">_xlfn.IFS(I447 = "Rob", "Robusta", I447 = "Exc", "Excelsa", I447 = "Ara", "Arabica", I447 = "Lib", "Liberica")</f>
        <v>Liberica</v>
      </c>
      <c r="O447" t="str">
        <f t="shared" si="13"/>
        <v>Medium</v>
      </c>
      <c r="P447" t="str">
        <f>_xlfn.XLOOKUP(orders[[#This Row],[Customer ID]],customers!$A$1:$A$1001,customers!$I$1:$I$1001)</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 = 0, "", 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2"/>
        <v>8.73</v>
      </c>
      <c r="N448" t="str" cm="1">
        <f t="array" ref="N448">_xlfn.IFS(I448 = "Rob", "Robusta", I448 = "Exc", "Excelsa", I448 = "Ara", "Arabica", I448 = "Lib", "Liberica")</f>
        <v>Liberica</v>
      </c>
      <c r="O448" t="str">
        <f t="shared" si="13"/>
        <v>Medium</v>
      </c>
      <c r="P448" t="str">
        <f>_xlfn.XLOOKUP(orders[[#This Row],[Customer ID]],customers!$A$1:$A$1001,customers!$I$1:$I$1001)</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 = 0, "", 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2"/>
        <v>17.91</v>
      </c>
      <c r="N449" t="str" cm="1">
        <f t="array" ref="N449">_xlfn.IFS(I449 = "Rob", "Robusta", I449 = "Exc", "Excelsa", I449 = "Ara", "Arabica", I449 = "Lib", "Liberica")</f>
        <v>Robusta</v>
      </c>
      <c r="O449" t="str">
        <f t="shared" si="13"/>
        <v>Medium</v>
      </c>
      <c r="P449" t="str">
        <f>_xlfn.XLOOKUP(orders[[#This Row],[Customer ID]],customers!$A$1:$A$1001,customers!$I$1:$I$1001)</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 = 0, "", 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2"/>
        <v>7.169999999999999</v>
      </c>
      <c r="N450" t="str" cm="1">
        <f t="array" ref="N450">_xlfn.IFS(I450 = "Rob", "Robusta", I450 = "Exc", "Excelsa", I450 = "Ara", "Arabica", I450 = "Lib", "Liberica")</f>
        <v>Robusta</v>
      </c>
      <c r="O450" t="str">
        <f t="shared" si="13"/>
        <v>Light</v>
      </c>
      <c r="P450" t="str">
        <f>_xlfn.XLOOKUP(orders[[#This Row],[Customer ID]],customers!$A$1:$A$1001,customers!$I$1:$I$1001)</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 = 0, "", 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14">SUM(L451*E451)</f>
        <v>5.3699999999999992</v>
      </c>
      <c r="N451" t="str" cm="1">
        <f t="array" ref="N451">_xlfn.IFS(I451 = "Rob", "Robusta", I451 = "Exc", "Excelsa", I451 = "Ara", "Arabica", I451 = "Lib", "Liberica")</f>
        <v>Robusta</v>
      </c>
      <c r="O451" t="str">
        <f t="shared" ref="O451:O514" si="15">IF(J451 = "M", "Medium", IF(J451= "L", "Light",IF( J451 = "D", "Dark")))</f>
        <v>Dark</v>
      </c>
      <c r="P451" t="str">
        <f>_xlfn.XLOOKUP(orders[[#This Row],[Customer ID]],customers!$A$1:$A$1001,customers!$I$1:$I$1001)</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 = 0, "", 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14"/>
        <v>23.774999999999999</v>
      </c>
      <c r="N452" t="str" cm="1">
        <f t="array" ref="N452">_xlfn.IFS(I452 = "Rob", "Robusta", I452 = "Exc", "Excelsa", I452 = "Ara", "Arabica", I452 = "Lib", "Liberica")</f>
        <v>Liberica</v>
      </c>
      <c r="O452" t="str">
        <f t="shared" si="15"/>
        <v>Light</v>
      </c>
      <c r="P452" t="str">
        <f>_xlfn.XLOOKUP(orders[[#This Row],[Customer ID]],customers!$A$1:$A$1001,customers!$I$1:$I$1001)</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 = 0, "", 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14"/>
        <v>41.169999999999995</v>
      </c>
      <c r="N453" t="str" cm="1">
        <f t="array" ref="N453">_xlfn.IFS(I453 = "Rob", "Robusta", I453 = "Exc", "Excelsa", I453 = "Ara", "Arabica", I453 = "Lib", "Liberica")</f>
        <v>Robusta</v>
      </c>
      <c r="O453" t="str">
        <f t="shared" si="15"/>
        <v>Dark</v>
      </c>
      <c r="P453" t="str">
        <f>_xlfn.XLOOKUP(orders[[#This Row],[Customer ID]],customers!$A$1:$A$1001,customers!$I$1:$I$1001)</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 = 0, "", 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14"/>
        <v>11.654999999999999</v>
      </c>
      <c r="N454" t="str" cm="1">
        <f t="array" ref="N454">_xlfn.IFS(I454 = "Rob", "Robusta", I454 = "Exc", "Excelsa", I454 = "Ara", "Arabica", I454 = "Lib", "Liberica")</f>
        <v>Arabica</v>
      </c>
      <c r="O454" t="str">
        <f t="shared" si="15"/>
        <v>Light</v>
      </c>
      <c r="P454" t="str">
        <f>_xlfn.XLOOKUP(orders[[#This Row],[Customer ID]],customers!$A$1:$A$1001,customers!$I$1:$I$1001)</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 = 0, "", 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14"/>
        <v>38.04</v>
      </c>
      <c r="N455" t="str" cm="1">
        <f t="array" ref="N455">_xlfn.IFS(I455 = "Rob", "Robusta", I455 = "Exc", "Excelsa", I455 = "Ara", "Arabica", I455 = "Lib", "Liberica")</f>
        <v>Liberica</v>
      </c>
      <c r="O455" t="str">
        <f t="shared" si="15"/>
        <v>Light</v>
      </c>
      <c r="P455" t="str">
        <f>_xlfn.XLOOKUP(orders[[#This Row],[Customer ID]],customers!$A$1:$A$1001,customers!$I$1:$I$1001)</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 = 0, "", 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14"/>
        <v>82.339999999999989</v>
      </c>
      <c r="N456" t="str" cm="1">
        <f t="array" ref="N456">_xlfn.IFS(I456 = "Rob", "Robusta", I456 = "Exc", "Excelsa", I456 = "Ara", "Arabica", I456 = "Lib", "Liberica")</f>
        <v>Robusta</v>
      </c>
      <c r="O456" t="str">
        <f t="shared" si="15"/>
        <v>Dark</v>
      </c>
      <c r="P456" t="str">
        <f>_xlfn.XLOOKUP(orders[[#This Row],[Customer ID]],customers!$A$1:$A$1001,customers!$I$1:$I$1001)</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 = 0, "", 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14"/>
        <v>9.51</v>
      </c>
      <c r="N457" t="str" cm="1">
        <f t="array" ref="N457">_xlfn.IFS(I457 = "Rob", "Robusta", I457 = "Exc", "Excelsa", I457 = "Ara", "Arabica", I457 = "Lib", "Liberica")</f>
        <v>Liberica</v>
      </c>
      <c r="O457" t="str">
        <f t="shared" si="15"/>
        <v>Light</v>
      </c>
      <c r="P457" t="str">
        <f>_xlfn.XLOOKUP(orders[[#This Row],[Customer ID]],customers!$A$1:$A$1001,customers!$I$1:$I$1001)</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 = 0, "", 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14"/>
        <v>41.169999999999995</v>
      </c>
      <c r="N458" t="str" cm="1">
        <f t="array" ref="N458">_xlfn.IFS(I458 = "Rob", "Robusta", I458 = "Exc", "Excelsa", I458 = "Ara", "Arabica", I458 = "Lib", "Liberica")</f>
        <v>Robusta</v>
      </c>
      <c r="O458" t="str">
        <f t="shared" si="15"/>
        <v>Dark</v>
      </c>
      <c r="P458" t="str">
        <f>_xlfn.XLOOKUP(orders[[#This Row],[Customer ID]],customers!$A$1:$A$1001,customers!$I$1:$I$1001)</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 = 0, "", 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14"/>
        <v>47.55</v>
      </c>
      <c r="N459" t="str" cm="1">
        <f t="array" ref="N459">_xlfn.IFS(I459 = "Rob", "Robusta", I459 = "Exc", "Excelsa", I459 = "Ara", "Arabica", I459 = "Lib", "Liberica")</f>
        <v>Liberica</v>
      </c>
      <c r="O459" t="str">
        <f t="shared" si="15"/>
        <v>Light</v>
      </c>
      <c r="P459" t="str">
        <f>_xlfn.XLOOKUP(orders[[#This Row],[Customer ID]],customers!$A$1:$A$1001,customers!$I$1:$I$1001)</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 = 0, "", 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14"/>
        <v>45</v>
      </c>
      <c r="N460" t="str" cm="1">
        <f t="array" ref="N460">_xlfn.IFS(I460 = "Rob", "Robusta", I460 = "Exc", "Excelsa", I460 = "Ara", "Arabica", I460 = "Lib", "Liberica")</f>
        <v>Arabica</v>
      </c>
      <c r="O460" t="str">
        <f t="shared" si="15"/>
        <v>Medium</v>
      </c>
      <c r="P460" t="str">
        <f>_xlfn.XLOOKUP(orders[[#This Row],[Customer ID]],customers!$A$1:$A$1001,customers!$I$1:$I$1001)</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 = 0, "", 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14"/>
        <v>23.774999999999999</v>
      </c>
      <c r="N461" t="str" cm="1">
        <f t="array" ref="N461">_xlfn.IFS(I461 = "Rob", "Robusta", I461 = "Exc", "Excelsa", I461 = "Ara", "Arabica", I461 = "Lib", "Liberica")</f>
        <v>Liberica</v>
      </c>
      <c r="O461" t="str">
        <f t="shared" si="15"/>
        <v>Light</v>
      </c>
      <c r="P461" t="str">
        <f>_xlfn.XLOOKUP(orders[[#This Row],[Customer ID]],customers!$A$1:$A$1001,customers!$I$1:$I$1001)</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 = 0, "", 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14"/>
        <v>16.11</v>
      </c>
      <c r="N462" t="str" cm="1">
        <f t="array" ref="N462">_xlfn.IFS(I462 = "Rob", "Robusta", I462 = "Exc", "Excelsa", I462 = "Ara", "Arabica", I462 = "Lib", "Liberica")</f>
        <v>Robusta</v>
      </c>
      <c r="O462" t="str">
        <f t="shared" si="15"/>
        <v>Dark</v>
      </c>
      <c r="P462" t="str">
        <f>_xlfn.XLOOKUP(orders[[#This Row],[Customer ID]],customers!$A$1:$A$1001,customers!$I$1:$I$1001)</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 = 0, "", 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14"/>
        <v>10.739999999999998</v>
      </c>
      <c r="N463" t="str" cm="1">
        <f t="array" ref="N463">_xlfn.IFS(I463 = "Rob", "Robusta", I463 = "Exc", "Excelsa", I463 = "Ara", "Arabica", I463 = "Lib", "Liberica")</f>
        <v>Robusta</v>
      </c>
      <c r="O463" t="str">
        <f t="shared" si="15"/>
        <v>Dark</v>
      </c>
      <c r="P463" t="str">
        <f>_xlfn.XLOOKUP(orders[[#This Row],[Customer ID]],customers!$A$1:$A$1001,customers!$I$1:$I$1001)</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 = 0, "", 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14"/>
        <v>49.75</v>
      </c>
      <c r="N464" t="str" cm="1">
        <f t="array" ref="N464">_xlfn.IFS(I464 = "Rob", "Robusta", I464 = "Exc", "Excelsa", I464 = "Ara", "Arabica", I464 = "Lib", "Liberica")</f>
        <v>Arabica</v>
      </c>
      <c r="O464" t="str">
        <f t="shared" si="15"/>
        <v>Dark</v>
      </c>
      <c r="P464" t="str">
        <f>_xlfn.XLOOKUP(orders[[#This Row],[Customer ID]],customers!$A$1:$A$1001,customers!$I$1:$I$1001)</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 = 0, "", 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14"/>
        <v>27.5</v>
      </c>
      <c r="N465" t="str" cm="1">
        <f t="array" ref="N465">_xlfn.IFS(I465 = "Rob", "Robusta", I465 = "Exc", "Excelsa", I465 = "Ara", "Arabica", I465 = "Lib", "Liberica")</f>
        <v>Excelsa</v>
      </c>
      <c r="O465" t="str">
        <f t="shared" si="15"/>
        <v>Medium</v>
      </c>
      <c r="P465" t="str">
        <f>_xlfn.XLOOKUP(orders[[#This Row],[Customer ID]],customers!$A$1:$A$1001,customers!$I$1:$I$1001)</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 = 0, "", 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14"/>
        <v>119.13999999999999</v>
      </c>
      <c r="N466" t="str" cm="1">
        <f t="array" ref="N466">_xlfn.IFS(I466 = "Rob", "Robusta", I466 = "Exc", "Excelsa", I466 = "Ara", "Arabica", I466 = "Lib", "Liberica")</f>
        <v>Liberica</v>
      </c>
      <c r="O466" t="str">
        <f t="shared" si="15"/>
        <v>Dark</v>
      </c>
      <c r="P466" t="str">
        <f>_xlfn.XLOOKUP(orders[[#This Row],[Customer ID]],customers!$A$1:$A$1001,customers!$I$1:$I$1001)</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 = 0, "", 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14"/>
        <v>20.584999999999997</v>
      </c>
      <c r="N467" t="str" cm="1">
        <f t="array" ref="N467">_xlfn.IFS(I467 = "Rob", "Robusta", I467 = "Exc", "Excelsa", I467 = "Ara", "Arabica", I467 = "Lib", "Liberica")</f>
        <v>Robusta</v>
      </c>
      <c r="O467" t="str">
        <f t="shared" si="15"/>
        <v>Dark</v>
      </c>
      <c r="P467" t="str">
        <f>_xlfn.XLOOKUP(orders[[#This Row],[Customer ID]],customers!$A$1:$A$1001,customers!$I$1:$I$1001)</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 = 0, "", 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14"/>
        <v>8.9550000000000001</v>
      </c>
      <c r="N468" t="str" cm="1">
        <f t="array" ref="N468">_xlfn.IFS(I468 = "Rob", "Robusta", I468 = "Exc", "Excelsa", I468 = "Ara", "Arabica", I468 = "Lib", "Liberica")</f>
        <v>Arabica</v>
      </c>
      <c r="O468" t="str">
        <f t="shared" si="15"/>
        <v>Dark</v>
      </c>
      <c r="P468" t="str">
        <f>_xlfn.XLOOKUP(orders[[#This Row],[Customer ID]],customers!$A$1:$A$1001,customers!$I$1:$I$1001)</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 = 0, "", 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14"/>
        <v>5.97</v>
      </c>
      <c r="N469" t="str" cm="1">
        <f t="array" ref="N469">_xlfn.IFS(I469 = "Rob", "Robusta", I469 = "Exc", "Excelsa", I469 = "Ara", "Arabica", I469 = "Lib", "Liberica")</f>
        <v>Arabica</v>
      </c>
      <c r="O469" t="str">
        <f t="shared" si="15"/>
        <v>Dark</v>
      </c>
      <c r="P469" t="str">
        <f>_xlfn.XLOOKUP(orders[[#This Row],[Customer ID]],customers!$A$1:$A$1001,customers!$I$1:$I$1001)</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 = 0, "", 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14"/>
        <v>41.25</v>
      </c>
      <c r="N470" t="str" cm="1">
        <f t="array" ref="N470">_xlfn.IFS(I470 = "Rob", "Robusta", I470 = "Exc", "Excelsa", I470 = "Ara", "Arabica", I470 = "Lib", "Liberica")</f>
        <v>Excelsa</v>
      </c>
      <c r="O470" t="str">
        <f t="shared" si="15"/>
        <v>Medium</v>
      </c>
      <c r="P470" t="str">
        <f>_xlfn.XLOOKUP(orders[[#This Row],[Customer ID]],customers!$A$1:$A$1001,customers!$I$1:$I$1001)</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 = 0, "", 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14"/>
        <v>22.274999999999999</v>
      </c>
      <c r="N471" t="str" cm="1">
        <f t="array" ref="N471">_xlfn.IFS(I471 = "Rob", "Robusta", I471 = "Exc", "Excelsa", I471 = "Ara", "Arabica", I471 = "Lib", "Liberica")</f>
        <v>Excelsa</v>
      </c>
      <c r="O471" t="str">
        <f t="shared" si="15"/>
        <v>Light</v>
      </c>
      <c r="P471" t="str">
        <f>_xlfn.XLOOKUP(orders[[#This Row],[Customer ID]],customers!$A$1:$A$1001,customers!$I$1:$I$1001)</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 = 0, "", 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14"/>
        <v>6.75</v>
      </c>
      <c r="N472" t="str" cm="1">
        <f t="array" ref="N472">_xlfn.IFS(I472 = "Rob", "Robusta", I472 = "Exc", "Excelsa", I472 = "Ara", "Arabica", I472 = "Lib", "Liberica")</f>
        <v>Arabica</v>
      </c>
      <c r="O472" t="str">
        <f t="shared" si="15"/>
        <v>Medium</v>
      </c>
      <c r="P472" t="str">
        <f>_xlfn.XLOOKUP(orders[[#This Row],[Customer ID]],customers!$A$1:$A$1001,customers!$I$1:$I$1001)</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 = 0, "", 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14"/>
        <v>133.85999999999999</v>
      </c>
      <c r="N473" t="str" cm="1">
        <f t="array" ref="N473">_xlfn.IFS(I473 = "Rob", "Robusta", I473 = "Exc", "Excelsa", I473 = "Ara", "Arabica", I473 = "Lib", "Liberica")</f>
        <v>Liberica</v>
      </c>
      <c r="O473" t="str">
        <f t="shared" si="15"/>
        <v>Medium</v>
      </c>
      <c r="P473" t="str">
        <f>_xlfn.XLOOKUP(orders[[#This Row],[Customer ID]],customers!$A$1:$A$1001,customers!$I$1:$I$1001)</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 = 0, "", 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14"/>
        <v>5.97</v>
      </c>
      <c r="N474" t="str" cm="1">
        <f t="array" ref="N474">_xlfn.IFS(I474 = "Rob", "Robusta", I474 = "Exc", "Excelsa", I474 = "Ara", "Arabica", I474 = "Lib", "Liberica")</f>
        <v>Arabica</v>
      </c>
      <c r="O474" t="str">
        <f t="shared" si="15"/>
        <v>Dark</v>
      </c>
      <c r="P474" t="str">
        <f>_xlfn.XLOOKUP(orders[[#This Row],[Customer ID]],customers!$A$1:$A$1001,customers!$I$1:$I$1001)</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 = 0, "", 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14"/>
        <v>25.9</v>
      </c>
      <c r="N475" t="str" cm="1">
        <f t="array" ref="N475">_xlfn.IFS(I475 = "Rob", "Robusta", I475 = "Exc", "Excelsa", I475 = "Ara", "Arabica", I475 = "Lib", "Liberica")</f>
        <v>Arabica</v>
      </c>
      <c r="O475" t="str">
        <f t="shared" si="15"/>
        <v>Light</v>
      </c>
      <c r="P475" t="str">
        <f>_xlfn.XLOOKUP(orders[[#This Row],[Customer ID]],customers!$A$1:$A$1001,customers!$I$1:$I$1001)</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 = 0, "", 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14"/>
        <v>31.624999999999996</v>
      </c>
      <c r="N476" t="str" cm="1">
        <f t="array" ref="N476">_xlfn.IFS(I476 = "Rob", "Robusta", I476 = "Exc", "Excelsa", I476 = "Ara", "Arabica", I476 = "Lib", "Liberica")</f>
        <v>Excelsa</v>
      </c>
      <c r="O476" t="str">
        <f t="shared" si="15"/>
        <v>Medium</v>
      </c>
      <c r="P476" t="str">
        <f>_xlfn.XLOOKUP(orders[[#This Row],[Customer ID]],customers!$A$1:$A$1001,customers!$I$1:$I$1001)</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 = 0, "", 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14"/>
        <v>8.73</v>
      </c>
      <c r="N477" t="str" cm="1">
        <f t="array" ref="N477">_xlfn.IFS(I477 = "Rob", "Robusta", I477 = "Exc", "Excelsa", I477 = "Ara", "Arabica", I477 = "Lib", "Liberica")</f>
        <v>Liberica</v>
      </c>
      <c r="O477" t="str">
        <f t="shared" si="15"/>
        <v>Medium</v>
      </c>
      <c r="P477" t="str">
        <f>_xlfn.XLOOKUP(orders[[#This Row],[Customer ID]],customers!$A$1:$A$1001,customers!$I$1:$I$1001)</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 = 0, "", 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14"/>
        <v>26.73</v>
      </c>
      <c r="N478" t="str" cm="1">
        <f t="array" ref="N478">_xlfn.IFS(I478 = "Rob", "Robusta", I478 = "Exc", "Excelsa", I478 = "Ara", "Arabica", I478 = "Lib", "Liberica")</f>
        <v>Excelsa</v>
      </c>
      <c r="O478" t="str">
        <f t="shared" si="15"/>
        <v>Light</v>
      </c>
      <c r="P478" t="str">
        <f>_xlfn.XLOOKUP(orders[[#This Row],[Customer ID]],customers!$A$1:$A$1001,customers!$I$1:$I$1001)</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 = 0, "", 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14"/>
        <v>26.19</v>
      </c>
      <c r="N479" t="str" cm="1">
        <f t="array" ref="N479">_xlfn.IFS(I479 = "Rob", "Robusta", I479 = "Exc", "Excelsa", I479 = "Ara", "Arabica", I479 = "Lib", "Liberica")</f>
        <v>Liberica</v>
      </c>
      <c r="O479" t="str">
        <f t="shared" si="15"/>
        <v>Medium</v>
      </c>
      <c r="P479" t="str">
        <f>_xlfn.XLOOKUP(orders[[#This Row],[Customer ID]],customers!$A$1:$A$1001,customers!$I$1:$I$1001)</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 = 0, "", 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14"/>
        <v>53.699999999999996</v>
      </c>
      <c r="N480" t="str" cm="1">
        <f t="array" ref="N480">_xlfn.IFS(I480 = "Rob", "Robusta", I480 = "Exc", "Excelsa", I480 = "Ara", "Arabica", I480 = "Lib", "Liberica")</f>
        <v>Robusta</v>
      </c>
      <c r="O480" t="str">
        <f t="shared" si="15"/>
        <v>Dark</v>
      </c>
      <c r="P480" t="str">
        <f>_xlfn.XLOOKUP(orders[[#This Row],[Customer ID]],customers!$A$1:$A$1001,customers!$I$1:$I$1001)</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 = 0, "", 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14"/>
        <v>126.49999999999999</v>
      </c>
      <c r="N481" t="str" cm="1">
        <f t="array" ref="N481">_xlfn.IFS(I481 = "Rob", "Robusta", I481 = "Exc", "Excelsa", I481 = "Ara", "Arabica", I481 = "Lib", "Liberica")</f>
        <v>Excelsa</v>
      </c>
      <c r="O481" t="str">
        <f t="shared" si="15"/>
        <v>Medium</v>
      </c>
      <c r="P481" t="str">
        <f>_xlfn.XLOOKUP(orders[[#This Row],[Customer ID]],customers!$A$1:$A$1001,customers!$I$1:$I$1001)</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 = 0, "", 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14"/>
        <v>4.125</v>
      </c>
      <c r="N482" t="str" cm="1">
        <f t="array" ref="N482">_xlfn.IFS(I482 = "Rob", "Robusta", I482 = "Exc", "Excelsa", I482 = "Ara", "Arabica", I482 = "Lib", "Liberica")</f>
        <v>Excelsa</v>
      </c>
      <c r="O482" t="str">
        <f t="shared" si="15"/>
        <v>Medium</v>
      </c>
      <c r="P482" t="str">
        <f>_xlfn.XLOOKUP(orders[[#This Row],[Customer ID]],customers!$A$1:$A$1001,customers!$I$1:$I$1001)</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 = 0, "", 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14"/>
        <v>23.9</v>
      </c>
      <c r="N483" t="str" cm="1">
        <f t="array" ref="N483">_xlfn.IFS(I483 = "Rob", "Robusta", I483 = "Exc", "Excelsa", I483 = "Ara", "Arabica", I483 = "Lib", "Liberica")</f>
        <v>Robusta</v>
      </c>
      <c r="O483" t="str">
        <f t="shared" si="15"/>
        <v>Light</v>
      </c>
      <c r="P483" t="str">
        <f>_xlfn.XLOOKUP(orders[[#This Row],[Customer ID]],customers!$A$1:$A$1001,customers!$I$1:$I$1001)</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 = 0, "", 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14"/>
        <v>139.72499999999999</v>
      </c>
      <c r="N484" t="str" cm="1">
        <f t="array" ref="N484">_xlfn.IFS(I484 = "Rob", "Robusta", I484 = "Exc", "Excelsa", I484 = "Ara", "Arabica", I484 = "Lib", "Liberica")</f>
        <v>Excelsa</v>
      </c>
      <c r="O484" t="str">
        <f t="shared" si="15"/>
        <v>Dark</v>
      </c>
      <c r="P484" t="str">
        <f>_xlfn.XLOOKUP(orders[[#This Row],[Customer ID]],customers!$A$1:$A$1001,customers!$I$1:$I$1001)</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 = 0, "", 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14"/>
        <v>59.569999999999993</v>
      </c>
      <c r="N485" t="str" cm="1">
        <f t="array" ref="N485">_xlfn.IFS(I485 = "Rob", "Robusta", I485 = "Exc", "Excelsa", I485 = "Ara", "Arabica", I485 = "Lib", "Liberica")</f>
        <v>Liberica</v>
      </c>
      <c r="O485" t="str">
        <f t="shared" si="15"/>
        <v>Dark</v>
      </c>
      <c r="P485" t="str">
        <f>_xlfn.XLOOKUP(orders[[#This Row],[Customer ID]],customers!$A$1:$A$1001,customers!$I$1:$I$1001)</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 = 0, "", 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14"/>
        <v>57.06</v>
      </c>
      <c r="N486" t="str" cm="1">
        <f t="array" ref="N486">_xlfn.IFS(I486 = "Rob", "Robusta", I486 = "Exc", "Excelsa", I486 = "Ara", "Arabica", I486 = "Lib", "Liberica")</f>
        <v>Liberica</v>
      </c>
      <c r="O486" t="str">
        <f t="shared" si="15"/>
        <v>Light</v>
      </c>
      <c r="P486" t="str">
        <f>_xlfn.XLOOKUP(orders[[#This Row],[Customer ID]],customers!$A$1:$A$1001,customers!$I$1:$I$1001)</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 = 0, "", 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14"/>
        <v>21.509999999999998</v>
      </c>
      <c r="N487" t="str" cm="1">
        <f t="array" ref="N487">_xlfn.IFS(I487 = "Rob", "Robusta", I487 = "Exc", "Excelsa", I487 = "Ara", "Arabica", I487 = "Lib", "Liberica")</f>
        <v>Robusta</v>
      </c>
      <c r="O487" t="str">
        <f t="shared" si="15"/>
        <v>Light</v>
      </c>
      <c r="P487" t="str">
        <f>_xlfn.XLOOKUP(orders[[#This Row],[Customer ID]],customers!$A$1:$A$1001,customers!$I$1:$I$1001)</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 = 0, "", 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14"/>
        <v>52.38</v>
      </c>
      <c r="N488" t="str" cm="1">
        <f t="array" ref="N488">_xlfn.IFS(I488 = "Rob", "Robusta", I488 = "Exc", "Excelsa", I488 = "Ara", "Arabica", I488 = "Lib", "Liberica")</f>
        <v>Liberica</v>
      </c>
      <c r="O488" t="str">
        <f t="shared" si="15"/>
        <v>Medium</v>
      </c>
      <c r="P488" t="str">
        <f>_xlfn.XLOOKUP(orders[[#This Row],[Customer ID]],customers!$A$1:$A$1001,customers!$I$1:$I$1001)</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 = 0, "", 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14"/>
        <v>72.900000000000006</v>
      </c>
      <c r="N489" t="str" cm="1">
        <f t="array" ref="N489">_xlfn.IFS(I489 = "Rob", "Robusta", I489 = "Exc", "Excelsa", I489 = "Ara", "Arabica", I489 = "Lib", "Liberica")</f>
        <v>Excelsa</v>
      </c>
      <c r="O489" t="str">
        <f t="shared" si="15"/>
        <v>Dark</v>
      </c>
      <c r="P489" t="str">
        <f>_xlfn.XLOOKUP(orders[[#This Row],[Customer ID]],customers!$A$1:$A$1001,customers!$I$1:$I$1001)</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 = 0, "", 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14"/>
        <v>14.924999999999999</v>
      </c>
      <c r="N490" t="str" cm="1">
        <f t="array" ref="N490">_xlfn.IFS(I490 = "Rob", "Robusta", I490 = "Exc", "Excelsa", I490 = "Ara", "Arabica", I490 = "Lib", "Liberica")</f>
        <v>Robusta</v>
      </c>
      <c r="O490" t="str">
        <f t="shared" si="15"/>
        <v>Medium</v>
      </c>
      <c r="P490" t="str">
        <f>_xlfn.XLOOKUP(orders[[#This Row],[Customer ID]],customers!$A$1:$A$1001,customers!$I$1:$I$1001)</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 = 0, "", 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14"/>
        <v>95.1</v>
      </c>
      <c r="N491" t="str" cm="1">
        <f t="array" ref="N491">_xlfn.IFS(I491 = "Rob", "Robusta", I491 = "Exc", "Excelsa", I491 = "Ara", "Arabica", I491 = "Lib", "Liberica")</f>
        <v>Liberica</v>
      </c>
      <c r="O491" t="str">
        <f t="shared" si="15"/>
        <v>Light</v>
      </c>
      <c r="P491" t="str">
        <f>_xlfn.XLOOKUP(orders[[#This Row],[Customer ID]],customers!$A$1:$A$1001,customers!$I$1:$I$1001)</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 = 0, "", 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14"/>
        <v>15.54</v>
      </c>
      <c r="N492" t="str" cm="1">
        <f t="array" ref="N492">_xlfn.IFS(I492 = "Rob", "Robusta", I492 = "Exc", "Excelsa", I492 = "Ara", "Arabica", I492 = "Lib", "Liberica")</f>
        <v>Liberica</v>
      </c>
      <c r="O492" t="str">
        <f t="shared" si="15"/>
        <v>Dark</v>
      </c>
      <c r="P492" t="str">
        <f>_xlfn.XLOOKUP(orders[[#This Row],[Customer ID]],customers!$A$1:$A$1001,customers!$I$1:$I$1001)</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 = 0, "", 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14"/>
        <v>23.31</v>
      </c>
      <c r="N493" t="str" cm="1">
        <f t="array" ref="N493">_xlfn.IFS(I493 = "Rob", "Robusta", I493 = "Exc", "Excelsa", I493 = "Ara", "Arabica", I493 = "Lib", "Liberica")</f>
        <v>Liberica</v>
      </c>
      <c r="O493" t="str">
        <f t="shared" si="15"/>
        <v>Dark</v>
      </c>
      <c r="P493" t="str">
        <f>_xlfn.XLOOKUP(orders[[#This Row],[Customer ID]],customers!$A$1:$A$1001,customers!$I$1:$I$1001)</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 = 0, "", 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14"/>
        <v>4.125</v>
      </c>
      <c r="N494" t="str" cm="1">
        <f t="array" ref="N494">_xlfn.IFS(I494 = "Rob", "Robusta", I494 = "Exc", "Excelsa", I494 = "Ara", "Arabica", I494 = "Lib", "Liberica")</f>
        <v>Excelsa</v>
      </c>
      <c r="O494" t="str">
        <f t="shared" si="15"/>
        <v>Medium</v>
      </c>
      <c r="P494" t="str">
        <f>_xlfn.XLOOKUP(orders[[#This Row],[Customer ID]],customers!$A$1:$A$1001,customers!$I$1:$I$1001)</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 = 0, "", 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14"/>
        <v>35.82</v>
      </c>
      <c r="N495" t="str" cm="1">
        <f t="array" ref="N495">_xlfn.IFS(I495 = "Rob", "Robusta", I495 = "Exc", "Excelsa", I495 = "Ara", "Arabica", I495 = "Lib", "Liberica")</f>
        <v>Robusta</v>
      </c>
      <c r="O495" t="str">
        <f t="shared" si="15"/>
        <v>Medium</v>
      </c>
      <c r="P495" t="str">
        <f>_xlfn.XLOOKUP(orders[[#This Row],[Customer ID]],customers!$A$1:$A$1001,customers!$I$1:$I$1001)</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 = 0, "", 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14"/>
        <v>31.7</v>
      </c>
      <c r="N496" t="str" cm="1">
        <f t="array" ref="N496">_xlfn.IFS(I496 = "Rob", "Robusta", I496 = "Exc", "Excelsa", I496 = "Ara", "Arabica", I496 = "Lib", "Liberica")</f>
        <v>Liberica</v>
      </c>
      <c r="O496" t="str">
        <f t="shared" si="15"/>
        <v>Light</v>
      </c>
      <c r="P496" t="str">
        <f>_xlfn.XLOOKUP(orders[[#This Row],[Customer ID]],customers!$A$1:$A$1001,customers!$I$1:$I$1001)</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 = 0, "", 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14"/>
        <v>79.25</v>
      </c>
      <c r="N497" t="str" cm="1">
        <f t="array" ref="N497">_xlfn.IFS(I497 = "Rob", "Robusta", I497 = "Exc", "Excelsa", I497 = "Ara", "Arabica", I497 = "Lib", "Liberica")</f>
        <v>Liberica</v>
      </c>
      <c r="O497" t="str">
        <f t="shared" si="15"/>
        <v>Light</v>
      </c>
      <c r="P497" t="str">
        <f>_xlfn.XLOOKUP(orders[[#This Row],[Customer ID]],customers!$A$1:$A$1001,customers!$I$1:$I$1001)</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 = 0, "", 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14"/>
        <v>10.935</v>
      </c>
      <c r="N498" t="str" cm="1">
        <f t="array" ref="N498">_xlfn.IFS(I498 = "Rob", "Robusta", I498 = "Exc", "Excelsa", I498 = "Ara", "Arabica", I498 = "Lib", "Liberica")</f>
        <v>Excelsa</v>
      </c>
      <c r="O498" t="str">
        <f t="shared" si="15"/>
        <v>Dark</v>
      </c>
      <c r="P498" t="str">
        <f>_xlfn.XLOOKUP(orders[[#This Row],[Customer ID]],customers!$A$1:$A$1001,customers!$I$1:$I$1001)</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 = 0, "", 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14"/>
        <v>39.799999999999997</v>
      </c>
      <c r="N499" t="str" cm="1">
        <f t="array" ref="N499">_xlfn.IFS(I499 = "Rob", "Robusta", I499 = "Exc", "Excelsa", I499 = "Ara", "Arabica", I499 = "Lib", "Liberica")</f>
        <v>Arabica</v>
      </c>
      <c r="O499" t="str">
        <f t="shared" si="15"/>
        <v>Dark</v>
      </c>
      <c r="P499" t="str">
        <f>_xlfn.XLOOKUP(orders[[#This Row],[Customer ID]],customers!$A$1:$A$1001,customers!$I$1:$I$1001)</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 = 0, "", 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14"/>
        <v>49.75</v>
      </c>
      <c r="N500" t="str" cm="1">
        <f t="array" ref="N500">_xlfn.IFS(I500 = "Rob", "Robusta", I500 = "Exc", "Excelsa", I500 = "Ara", "Arabica", I500 = "Lib", "Liberica")</f>
        <v>Robusta</v>
      </c>
      <c r="O500" t="str">
        <f t="shared" si="15"/>
        <v>Medium</v>
      </c>
      <c r="P500" t="str">
        <f>_xlfn.XLOOKUP(orders[[#This Row],[Customer ID]],customers!$A$1:$A$1001,customers!$I$1:$I$1001)</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 = 0, "", 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14"/>
        <v>8.0549999999999997</v>
      </c>
      <c r="N501" t="str" cm="1">
        <f t="array" ref="N501">_xlfn.IFS(I501 = "Rob", "Robusta", I501 = "Exc", "Excelsa", I501 = "Ara", "Arabica", I501 = "Lib", "Liberica")</f>
        <v>Robusta</v>
      </c>
      <c r="O501" t="str">
        <f t="shared" si="15"/>
        <v>Dark</v>
      </c>
      <c r="P501" t="str">
        <f>_xlfn.XLOOKUP(orders[[#This Row],[Customer ID]],customers!$A$1:$A$1001,customers!$I$1:$I$1001)</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 = 0, "", 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14"/>
        <v>47.8</v>
      </c>
      <c r="N502" t="str" cm="1">
        <f t="array" ref="N502">_xlfn.IFS(I502 = "Rob", "Robusta", I502 = "Exc", "Excelsa", I502 = "Ara", "Arabica", I502 = "Lib", "Liberica")</f>
        <v>Robusta</v>
      </c>
      <c r="O502" t="str">
        <f t="shared" si="15"/>
        <v>Light</v>
      </c>
      <c r="P502" t="str">
        <f>_xlfn.XLOOKUP(orders[[#This Row],[Customer ID]],customers!$A$1:$A$1001,customers!$I$1:$I$1001)</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 = 0, "", 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14"/>
        <v>11.94</v>
      </c>
      <c r="N503" t="str" cm="1">
        <f t="array" ref="N503">_xlfn.IFS(I503 = "Rob", "Robusta", I503 = "Exc", "Excelsa", I503 = "Ara", "Arabica", I503 = "Lib", "Liberica")</f>
        <v>Robusta</v>
      </c>
      <c r="O503" t="str">
        <f t="shared" si="15"/>
        <v>Medium</v>
      </c>
      <c r="P503" t="str">
        <f>_xlfn.XLOOKUP(orders[[#This Row],[Customer ID]],customers!$A$1:$A$1001,customers!$I$1:$I$1001)</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 = 0, "", 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14"/>
        <v>16.5</v>
      </c>
      <c r="N504" t="str" cm="1">
        <f t="array" ref="N504">_xlfn.IFS(I504 = "Rob", "Robusta", I504 = "Exc", "Excelsa", I504 = "Ara", "Arabica", I504 = "Lib", "Liberica")</f>
        <v>Excelsa</v>
      </c>
      <c r="O504" t="str">
        <f t="shared" si="15"/>
        <v>Medium</v>
      </c>
      <c r="P504" t="str">
        <f>_xlfn.XLOOKUP(orders[[#This Row],[Customer ID]],customers!$A$1:$A$1001,customers!$I$1:$I$1001)</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 = 0, "", 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14"/>
        <v>51.8</v>
      </c>
      <c r="N505" t="str" cm="1">
        <f t="array" ref="N505">_xlfn.IFS(I505 = "Rob", "Robusta", I505 = "Exc", "Excelsa", I505 = "Ara", "Arabica", I505 = "Lib", "Liberica")</f>
        <v>Liberica</v>
      </c>
      <c r="O505" t="str">
        <f t="shared" si="15"/>
        <v>Dark</v>
      </c>
      <c r="P505" t="str">
        <f>_xlfn.XLOOKUP(orders[[#This Row],[Customer ID]],customers!$A$1:$A$1001,customers!$I$1:$I$1001)</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 = 0, "", 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14"/>
        <v>14.265000000000001</v>
      </c>
      <c r="N506" t="str" cm="1">
        <f t="array" ref="N506">_xlfn.IFS(I506 = "Rob", "Robusta", I506 = "Exc", "Excelsa", I506 = "Ara", "Arabica", I506 = "Lib", "Liberica")</f>
        <v>Liberica</v>
      </c>
      <c r="O506" t="str">
        <f t="shared" si="15"/>
        <v>Light</v>
      </c>
      <c r="P506" t="str">
        <f>_xlfn.XLOOKUP(orders[[#This Row],[Customer ID]],customers!$A$1:$A$1001,customers!$I$1:$I$1001)</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 = 0, "", 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14"/>
        <v>26.19</v>
      </c>
      <c r="N507" t="str" cm="1">
        <f t="array" ref="N507">_xlfn.IFS(I507 = "Rob", "Robusta", I507 = "Exc", "Excelsa", I507 = "Ara", "Arabica", I507 = "Lib", "Liberica")</f>
        <v>Liberica</v>
      </c>
      <c r="O507" t="str">
        <f t="shared" si="15"/>
        <v>Medium</v>
      </c>
      <c r="P507" t="str">
        <f>_xlfn.XLOOKUP(orders[[#This Row],[Customer ID]],customers!$A$1:$A$1001,customers!$I$1:$I$1001)</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 = 0, "", 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14"/>
        <v>25.9</v>
      </c>
      <c r="N508" t="str" cm="1">
        <f t="array" ref="N508">_xlfn.IFS(I508 = "Rob", "Robusta", I508 = "Exc", "Excelsa", I508 = "Ara", "Arabica", I508 = "Lib", "Liberica")</f>
        <v>Arabica</v>
      </c>
      <c r="O508" t="str">
        <f t="shared" si="15"/>
        <v>Light</v>
      </c>
      <c r="P508" t="str">
        <f>_xlfn.XLOOKUP(orders[[#This Row],[Customer ID]],customers!$A$1:$A$1001,customers!$I$1:$I$1001)</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 = 0, "", 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14"/>
        <v>89.35499999999999</v>
      </c>
      <c r="N509" t="str" cm="1">
        <f t="array" ref="N509">_xlfn.IFS(I509 = "Rob", "Robusta", I509 = "Exc", "Excelsa", I509 = "Ara", "Arabica", I509 = "Lib", "Liberica")</f>
        <v>Arabica</v>
      </c>
      <c r="O509" t="str">
        <f t="shared" si="15"/>
        <v>Light</v>
      </c>
      <c r="P509" t="str">
        <f>_xlfn.XLOOKUP(orders[[#This Row],[Customer ID]],customers!$A$1:$A$1001,customers!$I$1:$I$1001)</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 = 0, "", 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14"/>
        <v>46.62</v>
      </c>
      <c r="N510" t="str" cm="1">
        <f t="array" ref="N510">_xlfn.IFS(I510 = "Rob", "Robusta", I510 = "Exc", "Excelsa", I510 = "Ara", "Arabica", I510 = "Lib", "Liberica")</f>
        <v>Liberica</v>
      </c>
      <c r="O510" t="str">
        <f t="shared" si="15"/>
        <v>Dark</v>
      </c>
      <c r="P510" t="str">
        <f>_xlfn.XLOOKUP(orders[[#This Row],[Customer ID]],customers!$A$1:$A$1001,customers!$I$1:$I$1001)</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 = 0, "", 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14"/>
        <v>29.849999999999998</v>
      </c>
      <c r="N511" t="str" cm="1">
        <f t="array" ref="N511">_xlfn.IFS(I511 = "Rob", "Robusta", I511 = "Exc", "Excelsa", I511 = "Ara", "Arabica", I511 = "Lib", "Liberica")</f>
        <v>Arabica</v>
      </c>
      <c r="O511" t="str">
        <f t="shared" si="15"/>
        <v>Dark</v>
      </c>
      <c r="P511" t="str">
        <f>_xlfn.XLOOKUP(orders[[#This Row],[Customer ID]],customers!$A$1:$A$1001,customers!$I$1:$I$1001)</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 = 0, "", 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14"/>
        <v>10.754999999999999</v>
      </c>
      <c r="N512" t="str" cm="1">
        <f t="array" ref="N512">_xlfn.IFS(I512 = "Rob", "Robusta", I512 = "Exc", "Excelsa", I512 = "Ara", "Arabica", I512 = "Lib", "Liberica")</f>
        <v>Robusta</v>
      </c>
      <c r="O512" t="str">
        <f t="shared" si="15"/>
        <v>Light</v>
      </c>
      <c r="P512" t="str">
        <f>_xlfn.XLOOKUP(orders[[#This Row],[Customer ID]],customers!$A$1:$A$1001,customers!$I$1:$I$1001)</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 = 0, "", 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14"/>
        <v>13.5</v>
      </c>
      <c r="N513" t="str" cm="1">
        <f t="array" ref="N513">_xlfn.IFS(I513 = "Rob", "Robusta", I513 = "Exc", "Excelsa", I513 = "Ara", "Arabica", I513 = "Lib", "Liberica")</f>
        <v>Arabica</v>
      </c>
      <c r="O513" t="str">
        <f t="shared" si="15"/>
        <v>Medium</v>
      </c>
      <c r="P513" t="str">
        <f>_xlfn.XLOOKUP(orders[[#This Row],[Customer ID]],customers!$A$1:$A$1001,customers!$I$1:$I$1001)</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 = 0, "", 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14"/>
        <v>47.55</v>
      </c>
      <c r="N514" t="str" cm="1">
        <f t="array" ref="N514">_xlfn.IFS(I514 = "Rob", "Robusta", I514 = "Exc", "Excelsa", I514 = "Ara", "Arabica", I514 = "Lib", "Liberica")</f>
        <v>Liberica</v>
      </c>
      <c r="O514" t="str">
        <f t="shared" si="15"/>
        <v>Light</v>
      </c>
      <c r="P514" t="str">
        <f>_xlfn.XLOOKUP(orders[[#This Row],[Customer ID]],customers!$A$1:$A$1001,customers!$I$1:$I$1001)</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 = 0, "", 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16">SUM(L515*E515)</f>
        <v>79.25</v>
      </c>
      <c r="N515" t="str" cm="1">
        <f t="array" ref="N515">_xlfn.IFS(I515 = "Rob", "Robusta", I515 = "Exc", "Excelsa", I515 = "Ara", "Arabica", I515 = "Lib", "Liberica")</f>
        <v>Liberica</v>
      </c>
      <c r="O515" t="str">
        <f t="shared" ref="O515:O578" si="17">IF(J515 = "M", "Medium", IF(J515= "L", "Light",IF( J515 = "D", "Dark")))</f>
        <v>Light</v>
      </c>
      <c r="P515" t="str">
        <f>_xlfn.XLOOKUP(orders[[#This Row],[Customer ID]],customers!$A$1:$A$1001,customers!$I$1:$I$1001)</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 = 0, "", 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16"/>
        <v>26.19</v>
      </c>
      <c r="N516" t="str" cm="1">
        <f t="array" ref="N516">_xlfn.IFS(I516 = "Rob", "Robusta", I516 = "Exc", "Excelsa", I516 = "Ara", "Arabica", I516 = "Lib", "Liberica")</f>
        <v>Liberica</v>
      </c>
      <c r="O516" t="str">
        <f t="shared" si="17"/>
        <v>Medium</v>
      </c>
      <c r="P516" t="str">
        <f>_xlfn.XLOOKUP(orders[[#This Row],[Customer ID]],customers!$A$1:$A$1001,customers!$I$1:$I$1001)</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 = 0, "", 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16"/>
        <v>21.509999999999998</v>
      </c>
      <c r="N517" t="str" cm="1">
        <f t="array" ref="N517">_xlfn.IFS(I517 = "Rob", "Robusta", I517 = "Exc", "Excelsa", I517 = "Ara", "Arabica", I517 = "Lib", "Liberica")</f>
        <v>Robusta</v>
      </c>
      <c r="O517" t="str">
        <f t="shared" si="17"/>
        <v>Light</v>
      </c>
      <c r="P517" t="str">
        <f>_xlfn.XLOOKUP(orders[[#This Row],[Customer ID]],customers!$A$1:$A$1001,customers!$I$1:$I$1001)</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 = 0, "", 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16"/>
        <v>102.92499999999998</v>
      </c>
      <c r="N518" t="str" cm="1">
        <f t="array" ref="N518">_xlfn.IFS(I518 = "Rob", "Robusta", I518 = "Exc", "Excelsa", I518 = "Ara", "Arabica", I518 = "Lib", "Liberica")</f>
        <v>Robusta</v>
      </c>
      <c r="O518" t="str">
        <f t="shared" si="17"/>
        <v>Dark</v>
      </c>
      <c r="P518" t="str">
        <f>_xlfn.XLOOKUP(orders[[#This Row],[Customer ID]],customers!$A$1:$A$1001,customers!$I$1:$I$1001)</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 = 0, "", 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16"/>
        <v>7.77</v>
      </c>
      <c r="N519" t="str" cm="1">
        <f t="array" ref="N519">_xlfn.IFS(I519 = "Rob", "Robusta", I519 = "Exc", "Excelsa", I519 = "Ara", "Arabica", I519 = "Lib", "Liberica")</f>
        <v>Liberica</v>
      </c>
      <c r="O519" t="str">
        <f t="shared" si="17"/>
        <v>Dark</v>
      </c>
      <c r="P519" t="str">
        <f>_xlfn.XLOOKUP(orders[[#This Row],[Customer ID]],customers!$A$1:$A$1001,customers!$I$1:$I$1001)</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 = 0, "", 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16"/>
        <v>139.72499999999999</v>
      </c>
      <c r="N520" t="str" cm="1">
        <f t="array" ref="N520">_xlfn.IFS(I520 = "Rob", "Robusta", I520 = "Exc", "Excelsa", I520 = "Ara", "Arabica", I520 = "Lib", "Liberica")</f>
        <v>Excelsa</v>
      </c>
      <c r="O520" t="str">
        <f t="shared" si="17"/>
        <v>Dark</v>
      </c>
      <c r="P520" t="str">
        <f>_xlfn.XLOOKUP(orders[[#This Row],[Customer ID]],customers!$A$1:$A$1001,customers!$I$1:$I$1001)</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 = 0, "", 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16"/>
        <v>11.94</v>
      </c>
      <c r="N521" t="str" cm="1">
        <f t="array" ref="N521">_xlfn.IFS(I521 = "Rob", "Robusta", I521 = "Exc", "Excelsa", I521 = "Ara", "Arabica", I521 = "Lib", "Liberica")</f>
        <v>Arabica</v>
      </c>
      <c r="O521" t="str">
        <f t="shared" si="17"/>
        <v>Dark</v>
      </c>
      <c r="P521" t="str">
        <f>_xlfn.XLOOKUP(orders[[#This Row],[Customer ID]],customers!$A$1:$A$1001,customers!$I$1:$I$1001)</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 = 0, "", 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16"/>
        <v>3.8849999999999998</v>
      </c>
      <c r="N522" t="str" cm="1">
        <f t="array" ref="N522">_xlfn.IFS(I522 = "Rob", "Robusta", I522 = "Exc", "Excelsa", I522 = "Ara", "Arabica", I522 = "Lib", "Liberica")</f>
        <v>Liberica</v>
      </c>
      <c r="O522" t="str">
        <f t="shared" si="17"/>
        <v>Dark</v>
      </c>
      <c r="P522" t="str">
        <f>_xlfn.XLOOKUP(orders[[#This Row],[Customer ID]],customers!$A$1:$A$1001,customers!$I$1:$I$1001)</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 = 0, "", 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16"/>
        <v>39.799999999999997</v>
      </c>
      <c r="N523" t="str" cm="1">
        <f t="array" ref="N523">_xlfn.IFS(I523 = "Rob", "Robusta", I523 = "Exc", "Excelsa", I523 = "Ara", "Arabica", I523 = "Lib", "Liberica")</f>
        <v>Robusta</v>
      </c>
      <c r="O523" t="str">
        <f t="shared" si="17"/>
        <v>Medium</v>
      </c>
      <c r="P523" t="str">
        <f>_xlfn.XLOOKUP(orders[[#This Row],[Customer ID]],customers!$A$1:$A$1001,customers!$I$1:$I$1001)</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 = 0, "", 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16"/>
        <v>29.849999999999998</v>
      </c>
      <c r="N524" t="str" cm="1">
        <f t="array" ref="N524">_xlfn.IFS(I524 = "Rob", "Robusta", I524 = "Exc", "Excelsa", I524 = "Ara", "Arabica", I524 = "Lib", "Liberica")</f>
        <v>Robusta</v>
      </c>
      <c r="O524" t="str">
        <f t="shared" si="17"/>
        <v>Medium</v>
      </c>
      <c r="P524" t="str">
        <f>_xlfn.XLOOKUP(orders[[#This Row],[Customer ID]],customers!$A$1:$A$1001,customers!$I$1:$I$1001)</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 = 0, "", 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16"/>
        <v>29.784999999999997</v>
      </c>
      <c r="N525" t="str" cm="1">
        <f t="array" ref="N525">_xlfn.IFS(I525 = "Rob", "Robusta", I525 = "Exc", "Excelsa", I525 = "Ara", "Arabica", I525 = "Lib", "Liberica")</f>
        <v>Liberica</v>
      </c>
      <c r="O525" t="str">
        <f t="shared" si="17"/>
        <v>Dark</v>
      </c>
      <c r="P525" t="str">
        <f>_xlfn.XLOOKUP(orders[[#This Row],[Customer ID]],customers!$A$1:$A$1001,customers!$I$1:$I$1001)</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 = 0, "", 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16"/>
        <v>72.91</v>
      </c>
      <c r="N526" t="str" cm="1">
        <f t="array" ref="N526">_xlfn.IFS(I526 = "Rob", "Robusta", I526 = "Exc", "Excelsa", I526 = "Ara", "Arabica", I526 = "Lib", "Liberica")</f>
        <v>Liberica</v>
      </c>
      <c r="O526" t="str">
        <f t="shared" si="17"/>
        <v>Light</v>
      </c>
      <c r="P526" t="str">
        <f>_xlfn.XLOOKUP(orders[[#This Row],[Customer ID]],customers!$A$1:$A$1001,customers!$I$1:$I$1001)</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 = 0, "", 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16"/>
        <v>13.424999999999997</v>
      </c>
      <c r="N527" t="str" cm="1">
        <f t="array" ref="N527">_xlfn.IFS(I527 = "Rob", "Robusta", I527 = "Exc", "Excelsa", I527 = "Ara", "Arabica", I527 = "Lib", "Liberica")</f>
        <v>Robusta</v>
      </c>
      <c r="O527" t="str">
        <f t="shared" si="17"/>
        <v>Dark</v>
      </c>
      <c r="P527" t="str">
        <f>_xlfn.XLOOKUP(orders[[#This Row],[Customer ID]],customers!$A$1:$A$1001,customers!$I$1:$I$1001)</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 = 0, "", 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16"/>
        <v>126.49999999999999</v>
      </c>
      <c r="N528" t="str" cm="1">
        <f t="array" ref="N528">_xlfn.IFS(I528 = "Rob", "Robusta", I528 = "Exc", "Excelsa", I528 = "Ara", "Arabica", I528 = "Lib", "Liberica")</f>
        <v>Excelsa</v>
      </c>
      <c r="O528" t="str">
        <f t="shared" si="17"/>
        <v>Medium</v>
      </c>
      <c r="P528" t="str">
        <f>_xlfn.XLOOKUP(orders[[#This Row],[Customer ID]],customers!$A$1:$A$1001,customers!$I$1:$I$1001)</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 = 0, "", 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16"/>
        <v>41.25</v>
      </c>
      <c r="N529" t="str" cm="1">
        <f t="array" ref="N529">_xlfn.IFS(I529 = "Rob", "Robusta", I529 = "Exc", "Excelsa", I529 = "Ara", "Arabica", I529 = "Lib", "Liberica")</f>
        <v>Excelsa</v>
      </c>
      <c r="O529" t="str">
        <f t="shared" si="17"/>
        <v>Medium</v>
      </c>
      <c r="P529" t="str">
        <f>_xlfn.XLOOKUP(orders[[#This Row],[Customer ID]],customers!$A$1:$A$1001,customers!$I$1:$I$1001)</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 = 0, "", 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16"/>
        <v>53.46</v>
      </c>
      <c r="N530" t="str" cm="1">
        <f t="array" ref="N530">_xlfn.IFS(I530 = "Rob", "Robusta", I530 = "Exc", "Excelsa", I530 = "Ara", "Arabica", I530 = "Lib", "Liberica")</f>
        <v>Excelsa</v>
      </c>
      <c r="O530" t="str">
        <f t="shared" si="17"/>
        <v>Light</v>
      </c>
      <c r="P530" t="str">
        <f>_xlfn.XLOOKUP(orders[[#This Row],[Customer ID]],customers!$A$1:$A$1001,customers!$I$1:$I$1001)</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 = 0, "", 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16"/>
        <v>59.699999999999996</v>
      </c>
      <c r="N531" t="str" cm="1">
        <f t="array" ref="N531">_xlfn.IFS(I531 = "Rob", "Robusta", I531 = "Exc", "Excelsa", I531 = "Ara", "Arabica", I531 = "Lib", "Liberica")</f>
        <v>Robusta</v>
      </c>
      <c r="O531" t="str">
        <f t="shared" si="17"/>
        <v>Medium</v>
      </c>
      <c r="P531" t="str">
        <f>_xlfn.XLOOKUP(orders[[#This Row],[Customer ID]],customers!$A$1:$A$1001,customers!$I$1:$I$1001)</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 = 0, "", 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16"/>
        <v>59.699999999999996</v>
      </c>
      <c r="N532" t="str" cm="1">
        <f t="array" ref="N532">_xlfn.IFS(I532 = "Rob", "Robusta", I532 = "Exc", "Excelsa", I532 = "Ara", "Arabica", I532 = "Lib", "Liberica")</f>
        <v>Robusta</v>
      </c>
      <c r="O532" t="str">
        <f t="shared" si="17"/>
        <v>Medium</v>
      </c>
      <c r="P532" t="str">
        <f>_xlfn.XLOOKUP(orders[[#This Row],[Customer ID]],customers!$A$1:$A$1001,customers!$I$1:$I$1001)</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 = 0, "", 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16"/>
        <v>44.75</v>
      </c>
      <c r="N533" t="str" cm="1">
        <f t="array" ref="N533">_xlfn.IFS(I533 = "Rob", "Robusta", I533 = "Exc", "Excelsa", I533 = "Ara", "Arabica", I533 = "Lib", "Liberica")</f>
        <v>Robusta</v>
      </c>
      <c r="O533" t="str">
        <f t="shared" si="17"/>
        <v>Dark</v>
      </c>
      <c r="P533" t="str">
        <f>_xlfn.XLOOKUP(orders[[#This Row],[Customer ID]],customers!$A$1:$A$1001,customers!$I$1:$I$1001)</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 = 0, "", 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16"/>
        <v>16.5</v>
      </c>
      <c r="N534" t="str" cm="1">
        <f t="array" ref="N534">_xlfn.IFS(I534 = "Rob", "Robusta", I534 = "Exc", "Excelsa", I534 = "Ara", "Arabica", I534 = "Lib", "Liberica")</f>
        <v>Excelsa</v>
      </c>
      <c r="O534" t="str">
        <f t="shared" si="17"/>
        <v>Medium</v>
      </c>
      <c r="P534" t="str">
        <f>_xlfn.XLOOKUP(orders[[#This Row],[Customer ID]],customers!$A$1:$A$1001,customers!$I$1:$I$1001)</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 = 0, "", 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16"/>
        <v>21.479999999999997</v>
      </c>
      <c r="N535" t="str" cm="1">
        <f t="array" ref="N535">_xlfn.IFS(I535 = "Rob", "Robusta", I535 = "Exc", "Excelsa", I535 = "Ara", "Arabica", I535 = "Lib", "Liberica")</f>
        <v>Robusta</v>
      </c>
      <c r="O535" t="str">
        <f t="shared" si="17"/>
        <v>Dark</v>
      </c>
      <c r="P535" t="str">
        <f>_xlfn.XLOOKUP(orders[[#This Row],[Customer ID]],customers!$A$1:$A$1001,customers!$I$1:$I$1001)</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 = 0, "", 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16"/>
        <v>45.769999999999996</v>
      </c>
      <c r="N536" t="str" cm="1">
        <f t="array" ref="N536">_xlfn.IFS(I536 = "Rob", "Robusta", I536 = "Exc", "Excelsa", I536 = "Ara", "Arabica", I536 = "Lib", "Liberica")</f>
        <v>Robusta</v>
      </c>
      <c r="O536" t="str">
        <f t="shared" si="17"/>
        <v>Medium</v>
      </c>
      <c r="P536" t="str">
        <f>_xlfn.XLOOKUP(orders[[#This Row],[Customer ID]],customers!$A$1:$A$1001,customers!$I$1:$I$1001)</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 = 0, "", 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16"/>
        <v>9.51</v>
      </c>
      <c r="N537" t="str" cm="1">
        <f t="array" ref="N537">_xlfn.IFS(I537 = "Rob", "Robusta", I537 = "Exc", "Excelsa", I537 = "Ara", "Arabica", I537 = "Lib", "Liberica")</f>
        <v>Liberica</v>
      </c>
      <c r="O537" t="str">
        <f t="shared" si="17"/>
        <v>Light</v>
      </c>
      <c r="P537" t="str">
        <f>_xlfn.XLOOKUP(orders[[#This Row],[Customer ID]],customers!$A$1:$A$1001,customers!$I$1:$I$1001)</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 = 0, "", 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16"/>
        <v>8.0549999999999997</v>
      </c>
      <c r="N538" t="str" cm="1">
        <f t="array" ref="N538">_xlfn.IFS(I538 = "Rob", "Robusta", I538 = "Exc", "Excelsa", I538 = "Ara", "Arabica", I538 = "Lib", "Liberica")</f>
        <v>Robusta</v>
      </c>
      <c r="O538" t="str">
        <f t="shared" si="17"/>
        <v>Dark</v>
      </c>
      <c r="P538" t="str">
        <f>_xlfn.XLOOKUP(orders[[#This Row],[Customer ID]],customers!$A$1:$A$1001,customers!$I$1:$I$1001)</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 = 0, "", 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16"/>
        <v>111.78</v>
      </c>
      <c r="N539" t="str" cm="1">
        <f t="array" ref="N539">_xlfn.IFS(I539 = "Rob", "Robusta", I539 = "Exc", "Excelsa", I539 = "Ara", "Arabica", I539 = "Lib", "Liberica")</f>
        <v>Excelsa</v>
      </c>
      <c r="O539" t="str">
        <f t="shared" si="17"/>
        <v>Dark</v>
      </c>
      <c r="P539" t="str">
        <f>_xlfn.XLOOKUP(orders[[#This Row],[Customer ID]],customers!$A$1:$A$1001,customers!$I$1:$I$1001)</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 = 0, "", 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16"/>
        <v>10.739999999999998</v>
      </c>
      <c r="N540" t="str" cm="1">
        <f t="array" ref="N540">_xlfn.IFS(I540 = "Rob", "Robusta", I540 = "Exc", "Excelsa", I540 = "Ara", "Arabica", I540 = "Lib", "Liberica")</f>
        <v>Robusta</v>
      </c>
      <c r="O540" t="str">
        <f t="shared" si="17"/>
        <v>Dark</v>
      </c>
      <c r="P540" t="str">
        <f>_xlfn.XLOOKUP(orders[[#This Row],[Customer ID]],customers!$A$1:$A$1001,customers!$I$1:$I$1001)</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 = 0, "", 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16"/>
        <v>26.849999999999994</v>
      </c>
      <c r="N541" t="str" cm="1">
        <f t="array" ref="N541">_xlfn.IFS(I541 = "Rob", "Robusta", I541 = "Exc", "Excelsa", I541 = "Ara", "Arabica", I541 = "Lib", "Liberica")</f>
        <v>Robusta</v>
      </c>
      <c r="O541" t="str">
        <f t="shared" si="17"/>
        <v>Dark</v>
      </c>
      <c r="P541" t="str">
        <f>_xlfn.XLOOKUP(orders[[#This Row],[Customer ID]],customers!$A$1:$A$1001,customers!$I$1:$I$1001)</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 = 0, "", 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16"/>
        <v>63.4</v>
      </c>
      <c r="N542" t="str" cm="1">
        <f t="array" ref="N542">_xlfn.IFS(I542 = "Rob", "Robusta", I542 = "Exc", "Excelsa", I542 = "Ara", "Arabica", I542 = "Lib", "Liberica")</f>
        <v>Liberica</v>
      </c>
      <c r="O542" t="str">
        <f t="shared" si="17"/>
        <v>Light</v>
      </c>
      <c r="P542" t="str">
        <f>_xlfn.XLOOKUP(orders[[#This Row],[Customer ID]],customers!$A$1:$A$1001,customers!$I$1:$I$1001)</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 = 0, "", 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16"/>
        <v>22.884999999999998</v>
      </c>
      <c r="N543" t="str" cm="1">
        <f t="array" ref="N543">_xlfn.IFS(I543 = "Rob", "Robusta", I543 = "Exc", "Excelsa", I543 = "Ara", "Arabica", I543 = "Lib", "Liberica")</f>
        <v>Arabica</v>
      </c>
      <c r="O543" t="str">
        <f t="shared" si="17"/>
        <v>Dark</v>
      </c>
      <c r="P543" t="str">
        <f>_xlfn.XLOOKUP(orders[[#This Row],[Customer ID]],customers!$A$1:$A$1001,customers!$I$1:$I$1001)</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 = 0, "", 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16"/>
        <v>103.49999999999999</v>
      </c>
      <c r="N544" t="str" cm="1">
        <f t="array" ref="N544">_xlfn.IFS(I544 = "Rob", "Robusta", I544 = "Exc", "Excelsa", I544 = "Ara", "Arabica", I544 = "Lib", "Liberica")</f>
        <v>Arabica</v>
      </c>
      <c r="O544" t="str">
        <f t="shared" si="17"/>
        <v>Medium</v>
      </c>
      <c r="P544" t="str">
        <f>_xlfn.XLOOKUP(orders[[#This Row],[Customer ID]],customers!$A$1:$A$1001,customers!$I$1:$I$1001)</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 = 0, "", 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16"/>
        <v>54.969999999999992</v>
      </c>
      <c r="N545" t="str" cm="1">
        <f t="array" ref="N545">_xlfn.IFS(I545 = "Rob", "Robusta", I545 = "Exc", "Excelsa", I545 = "Ara", "Arabica", I545 = "Lib", "Liberica")</f>
        <v>Robusta</v>
      </c>
      <c r="O545" t="str">
        <f t="shared" si="17"/>
        <v>Light</v>
      </c>
      <c r="P545" t="str">
        <f>_xlfn.XLOOKUP(orders[[#This Row],[Customer ID]],customers!$A$1:$A$1001,customers!$I$1:$I$1001)</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 = 0, "", 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16"/>
        <v>15.54</v>
      </c>
      <c r="N546" t="str" cm="1">
        <f t="array" ref="N546">_xlfn.IFS(I546 = "Rob", "Robusta", I546 = "Exc", "Excelsa", I546 = "Ara", "Arabica", I546 = "Lib", "Liberica")</f>
        <v>Arabica</v>
      </c>
      <c r="O546" t="str">
        <f t="shared" si="17"/>
        <v>Light</v>
      </c>
      <c r="P546" t="str">
        <f>_xlfn.XLOOKUP(orders[[#This Row],[Customer ID]],customers!$A$1:$A$1001,customers!$I$1:$I$1001)</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 = 0, "", 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16"/>
        <v>15.54</v>
      </c>
      <c r="N547" t="str" cm="1">
        <f t="array" ref="N547">_xlfn.IFS(I547 = "Rob", "Robusta", I547 = "Exc", "Excelsa", I547 = "Ara", "Arabica", I547 = "Lib", "Liberica")</f>
        <v>Liberica</v>
      </c>
      <c r="O547" t="str">
        <f t="shared" si="17"/>
        <v>Dark</v>
      </c>
      <c r="P547" t="str">
        <f>_xlfn.XLOOKUP(orders[[#This Row],[Customer ID]],customers!$A$1:$A$1001,customers!$I$1:$I$1001)</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 = 0, "", 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16"/>
        <v>83.835000000000008</v>
      </c>
      <c r="N548" t="str" cm="1">
        <f t="array" ref="N548">_xlfn.IFS(I548 = "Rob", "Robusta", I548 = "Exc", "Excelsa", I548 = "Ara", "Arabica", I548 = "Lib", "Liberica")</f>
        <v>Excelsa</v>
      </c>
      <c r="O548" t="str">
        <f t="shared" si="17"/>
        <v>Dark</v>
      </c>
      <c r="P548" t="str">
        <f>_xlfn.XLOOKUP(orders[[#This Row],[Customer ID]],customers!$A$1:$A$1001,customers!$I$1:$I$1001)</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 = 0, "", 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16"/>
        <v>10.754999999999999</v>
      </c>
      <c r="N549" t="str" cm="1">
        <f t="array" ref="N549">_xlfn.IFS(I549 = "Rob", "Robusta", I549 = "Exc", "Excelsa", I549 = "Ara", "Arabica", I549 = "Lib", "Liberica")</f>
        <v>Robusta</v>
      </c>
      <c r="O549" t="str">
        <f t="shared" si="17"/>
        <v>Light</v>
      </c>
      <c r="P549" t="str">
        <f>_xlfn.XLOOKUP(orders[[#This Row],[Customer ID]],customers!$A$1:$A$1001,customers!$I$1:$I$1001)</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 = 0, "", 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16"/>
        <v>13.365</v>
      </c>
      <c r="N550" t="str" cm="1">
        <f t="array" ref="N550">_xlfn.IFS(I550 = "Rob", "Robusta", I550 = "Exc", "Excelsa", I550 = "Ara", "Arabica", I550 = "Lib", "Liberica")</f>
        <v>Excelsa</v>
      </c>
      <c r="O550" t="str">
        <f t="shared" si="17"/>
        <v>Light</v>
      </c>
      <c r="P550" t="str">
        <f>_xlfn.XLOOKUP(orders[[#This Row],[Customer ID]],customers!$A$1:$A$1001,customers!$I$1:$I$1001)</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 = 0, "", 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16"/>
        <v>17.82</v>
      </c>
      <c r="N551" t="str" cm="1">
        <f t="array" ref="N551">_xlfn.IFS(I551 = "Rob", "Robusta", I551 = "Exc", "Excelsa", I551 = "Ara", "Arabica", I551 = "Lib", "Liberica")</f>
        <v>Excelsa</v>
      </c>
      <c r="O551" t="str">
        <f t="shared" si="17"/>
        <v>Light</v>
      </c>
      <c r="P551" t="str">
        <f>_xlfn.XLOOKUP(orders[[#This Row],[Customer ID]],customers!$A$1:$A$1001,customers!$I$1:$I$1001)</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 = 0, "", 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16"/>
        <v>23.31</v>
      </c>
      <c r="N552" t="str" cm="1">
        <f t="array" ref="N552">_xlfn.IFS(I552 = "Rob", "Robusta", I552 = "Exc", "Excelsa", I552 = "Ara", "Arabica", I552 = "Lib", "Liberica")</f>
        <v>Liberica</v>
      </c>
      <c r="O552" t="str">
        <f t="shared" si="17"/>
        <v>Dark</v>
      </c>
      <c r="P552" t="str">
        <f>_xlfn.XLOOKUP(orders[[#This Row],[Customer ID]],customers!$A$1:$A$1001,customers!$I$1:$I$1001)</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 = 0, "", 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16"/>
        <v>7.29</v>
      </c>
      <c r="N553" t="str" cm="1">
        <f t="array" ref="N553">_xlfn.IFS(I553 = "Rob", "Robusta", I553 = "Exc", "Excelsa", I553 = "Ara", "Arabica", I553 = "Lib", "Liberica")</f>
        <v>Excelsa</v>
      </c>
      <c r="O553" t="str">
        <f t="shared" si="17"/>
        <v>Dark</v>
      </c>
      <c r="P553" t="str">
        <f>_xlfn.XLOOKUP(orders[[#This Row],[Customer ID]],customers!$A$1:$A$1001,customers!$I$1:$I$1001)</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 = 0, "", 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16"/>
        <v>17.82</v>
      </c>
      <c r="N554" t="str" cm="1">
        <f t="array" ref="N554">_xlfn.IFS(I554 = "Rob", "Robusta", I554 = "Exc", "Excelsa", I554 = "Ara", "Arabica", I554 = "Lib", "Liberica")</f>
        <v>Excelsa</v>
      </c>
      <c r="O554" t="str">
        <f t="shared" si="17"/>
        <v>Light</v>
      </c>
      <c r="P554" t="str">
        <f>_xlfn.XLOOKUP(orders[[#This Row],[Customer ID]],customers!$A$1:$A$1001,customers!$I$1:$I$1001)</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 = 0, "", 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16"/>
        <v>68.75</v>
      </c>
      <c r="N555" t="str" cm="1">
        <f t="array" ref="N555">_xlfn.IFS(I555 = "Rob", "Robusta", I555 = "Exc", "Excelsa", I555 = "Ara", "Arabica", I555 = "Lib", "Liberica")</f>
        <v>Excelsa</v>
      </c>
      <c r="O555" t="str">
        <f t="shared" si="17"/>
        <v>Medium</v>
      </c>
      <c r="P555" t="str">
        <f>_xlfn.XLOOKUP(orders[[#This Row],[Customer ID]],customers!$A$1:$A$1001,customers!$I$1:$I$1001)</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 = 0, "", 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16"/>
        <v>54.969999999999992</v>
      </c>
      <c r="N556" t="str" cm="1">
        <f t="array" ref="N556">_xlfn.IFS(I556 = "Rob", "Robusta", I556 = "Exc", "Excelsa", I556 = "Ara", "Arabica", I556 = "Lib", "Liberica")</f>
        <v>Robusta</v>
      </c>
      <c r="O556" t="str">
        <f t="shared" si="17"/>
        <v>Light</v>
      </c>
      <c r="P556" t="str">
        <f>_xlfn.XLOOKUP(orders[[#This Row],[Customer ID]],customers!$A$1:$A$1001,customers!$I$1:$I$1001)</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 = 0, "", 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16"/>
        <v>82.5</v>
      </c>
      <c r="N557" t="str" cm="1">
        <f t="array" ref="N557">_xlfn.IFS(I557 = "Rob", "Robusta", I557 = "Exc", "Excelsa", I557 = "Ara", "Arabica", I557 = "Lib", "Liberica")</f>
        <v>Excelsa</v>
      </c>
      <c r="O557" t="str">
        <f t="shared" si="17"/>
        <v>Medium</v>
      </c>
      <c r="P557" t="str">
        <f>_xlfn.XLOOKUP(orders[[#This Row],[Customer ID]],customers!$A$1:$A$1001,customers!$I$1:$I$1001)</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 = 0, "", 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16"/>
        <v>8.73</v>
      </c>
      <c r="N558" t="str" cm="1">
        <f t="array" ref="N558">_xlfn.IFS(I558 = "Rob", "Robusta", I558 = "Exc", "Excelsa", I558 = "Ara", "Arabica", I558 = "Lib", "Liberica")</f>
        <v>Liberica</v>
      </c>
      <c r="O558" t="str">
        <f t="shared" si="17"/>
        <v>Medium</v>
      </c>
      <c r="P558" t="str">
        <f>_xlfn.XLOOKUP(orders[[#This Row],[Customer ID]],customers!$A$1:$A$1001,customers!$I$1:$I$1001)</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 = 0, "", 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16"/>
        <v>59.4</v>
      </c>
      <c r="N559" t="str" cm="1">
        <f t="array" ref="N559">_xlfn.IFS(I559 = "Rob", "Robusta", I559 = "Exc", "Excelsa", I559 = "Ara", "Arabica", I559 = "Lib", "Liberica")</f>
        <v>Excelsa</v>
      </c>
      <c r="O559" t="str">
        <f t="shared" si="17"/>
        <v>Light</v>
      </c>
      <c r="P559" t="str">
        <f>_xlfn.XLOOKUP(orders[[#This Row],[Customer ID]],customers!$A$1:$A$1001,customers!$I$1:$I$1001)</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 = 0, "", 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16"/>
        <v>15.54</v>
      </c>
      <c r="N560" t="str" cm="1">
        <f t="array" ref="N560">_xlfn.IFS(I560 = "Rob", "Robusta", I560 = "Exc", "Excelsa", I560 = "Ara", "Arabica", I560 = "Lib", "Liberica")</f>
        <v>Liberica</v>
      </c>
      <c r="O560" t="str">
        <f t="shared" si="17"/>
        <v>Dark</v>
      </c>
      <c r="P560" t="str">
        <f>_xlfn.XLOOKUP(orders[[#This Row],[Customer ID]],customers!$A$1:$A$1001,customers!$I$1:$I$1001)</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 = 0, "", 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16"/>
        <v>38.849999999999994</v>
      </c>
      <c r="N561" t="str" cm="1">
        <f t="array" ref="N561">_xlfn.IFS(I561 = "Rob", "Robusta", I561 = "Exc", "Excelsa", I561 = "Ara", "Arabica", I561 = "Lib", "Liberica")</f>
        <v>Arabica</v>
      </c>
      <c r="O561" t="str">
        <f t="shared" si="17"/>
        <v>Light</v>
      </c>
      <c r="P561" t="str">
        <f>_xlfn.XLOOKUP(orders[[#This Row],[Customer ID]],customers!$A$1:$A$1001,customers!$I$1:$I$1001)</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 = 0, "", 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16"/>
        <v>189.74999999999997</v>
      </c>
      <c r="N562" t="str" cm="1">
        <f t="array" ref="N562">_xlfn.IFS(I562 = "Rob", "Robusta", I562 = "Exc", "Excelsa", I562 = "Ara", "Arabica", I562 = "Lib", "Liberica")</f>
        <v>Excelsa</v>
      </c>
      <c r="O562" t="str">
        <f t="shared" si="17"/>
        <v>Medium</v>
      </c>
      <c r="P562" t="str">
        <f>_xlfn.XLOOKUP(orders[[#This Row],[Customer ID]],customers!$A$1:$A$1001,customers!$I$1:$I$1001)</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 = 0, "", 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16"/>
        <v>17.91</v>
      </c>
      <c r="N563" t="str" cm="1">
        <f t="array" ref="N563">_xlfn.IFS(I563 = "Rob", "Robusta", I563 = "Exc", "Excelsa", I563 = "Ara", "Arabica", I563 = "Lib", "Liberica")</f>
        <v>Arabica</v>
      </c>
      <c r="O563" t="str">
        <f t="shared" si="17"/>
        <v>Dark</v>
      </c>
      <c r="P563" t="str">
        <f>_xlfn.XLOOKUP(orders[[#This Row],[Customer ID]],customers!$A$1:$A$1001,customers!$I$1:$I$1001)</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 = 0, "", 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16"/>
        <v>28.53</v>
      </c>
      <c r="N564" t="str" cm="1">
        <f t="array" ref="N564">_xlfn.IFS(I564 = "Rob", "Robusta", I564 = "Exc", "Excelsa", I564 = "Ara", "Arabica", I564 = "Lib", "Liberica")</f>
        <v>Liberica</v>
      </c>
      <c r="O564" t="str">
        <f t="shared" si="17"/>
        <v>Light</v>
      </c>
      <c r="P564" t="str">
        <f>_xlfn.XLOOKUP(orders[[#This Row],[Customer ID]],customers!$A$1:$A$1001,customers!$I$1:$I$1001)</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 = 0, "", 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16"/>
        <v>82.5</v>
      </c>
      <c r="N565" t="str" cm="1">
        <f t="array" ref="N565">_xlfn.IFS(I565 = "Rob", "Robusta", I565 = "Exc", "Excelsa", I565 = "Ara", "Arabica", I565 = "Lib", "Liberica")</f>
        <v>Excelsa</v>
      </c>
      <c r="O565" t="str">
        <f t="shared" si="17"/>
        <v>Medium</v>
      </c>
      <c r="P565" t="str">
        <f>_xlfn.XLOOKUP(orders[[#This Row],[Customer ID]],customers!$A$1:$A$1001,customers!$I$1:$I$1001)</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 = 0, "", 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16"/>
        <v>14.339999999999998</v>
      </c>
      <c r="N566" t="str" cm="1">
        <f t="array" ref="N566">_xlfn.IFS(I566 = "Rob", "Robusta", I566 = "Exc", "Excelsa", I566 = "Ara", "Arabica", I566 = "Lib", "Liberica")</f>
        <v>Robusta</v>
      </c>
      <c r="O566" t="str">
        <f t="shared" si="17"/>
        <v>Light</v>
      </c>
      <c r="P566" t="str">
        <f>_xlfn.XLOOKUP(orders[[#This Row],[Customer ID]],customers!$A$1:$A$1001,customers!$I$1:$I$1001)</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 = 0, "", 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16"/>
        <v>82.339999999999989</v>
      </c>
      <c r="N567" t="str" cm="1">
        <f t="array" ref="N567">_xlfn.IFS(I567 = "Rob", "Robusta", I567 = "Exc", "Excelsa", I567 = "Ara", "Arabica", I567 = "Lib", "Liberica")</f>
        <v>Robusta</v>
      </c>
      <c r="O567" t="str">
        <f t="shared" si="17"/>
        <v>Dark</v>
      </c>
      <c r="P567" t="str">
        <f>_xlfn.XLOOKUP(orders[[#This Row],[Customer ID]],customers!$A$1:$A$1001,customers!$I$1:$I$1001)</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 = 0, "", 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16"/>
        <v>20.25</v>
      </c>
      <c r="N568" t="str" cm="1">
        <f t="array" ref="N568">_xlfn.IFS(I568 = "Rob", "Robusta", I568 = "Exc", "Excelsa", I568 = "Ara", "Arabica", I568 = "Lib", "Liberica")</f>
        <v>Arabica</v>
      </c>
      <c r="O568" t="str">
        <f t="shared" si="17"/>
        <v>Medium</v>
      </c>
      <c r="P568" t="str">
        <f>_xlfn.XLOOKUP(orders[[#This Row],[Customer ID]],customers!$A$1:$A$1001,customers!$I$1:$I$1001)</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 = 0, "", 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16"/>
        <v>164.90999999999997</v>
      </c>
      <c r="N569" t="str" cm="1">
        <f t="array" ref="N569">_xlfn.IFS(I569 = "Rob", "Robusta", I569 = "Exc", "Excelsa", I569 = "Ara", "Arabica", I569 = "Lib", "Liberica")</f>
        <v>Robusta</v>
      </c>
      <c r="O569" t="str">
        <f t="shared" si="17"/>
        <v>Light</v>
      </c>
      <c r="P569" t="str">
        <f>_xlfn.XLOOKUP(orders[[#This Row],[Customer ID]],customers!$A$1:$A$1001,customers!$I$1:$I$1001)</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 = 0, "", 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16"/>
        <v>19.02</v>
      </c>
      <c r="N570" t="str" cm="1">
        <f t="array" ref="N570">_xlfn.IFS(I570 = "Rob", "Robusta", I570 = "Exc", "Excelsa", I570 = "Ara", "Arabica", I570 = "Lib", "Liberica")</f>
        <v>Liberica</v>
      </c>
      <c r="O570" t="str">
        <f t="shared" si="17"/>
        <v>Light</v>
      </c>
      <c r="P570" t="str">
        <f>_xlfn.XLOOKUP(orders[[#This Row],[Customer ID]],customers!$A$1:$A$1001,customers!$I$1:$I$1001)</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 = 0, "", 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16"/>
        <v>137.31</v>
      </c>
      <c r="N571" t="str" cm="1">
        <f t="array" ref="N571">_xlfn.IFS(I571 = "Rob", "Robusta", I571 = "Exc", "Excelsa", I571 = "Ara", "Arabica", I571 = "Lib", "Liberica")</f>
        <v>Arabica</v>
      </c>
      <c r="O571" t="str">
        <f t="shared" si="17"/>
        <v>Dark</v>
      </c>
      <c r="P571" t="str">
        <f>_xlfn.XLOOKUP(orders[[#This Row],[Customer ID]],customers!$A$1:$A$1001,customers!$I$1:$I$1001)</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 = 0, "", 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16"/>
        <v>27</v>
      </c>
      <c r="N572" t="str" cm="1">
        <f t="array" ref="N572">_xlfn.IFS(I572 = "Rob", "Robusta", I572 = "Exc", "Excelsa", I572 = "Ara", "Arabica", I572 = "Lib", "Liberica")</f>
        <v>Arabica</v>
      </c>
      <c r="O572" t="str">
        <f t="shared" si="17"/>
        <v>Medium</v>
      </c>
      <c r="P572" t="str">
        <f>_xlfn.XLOOKUP(orders[[#This Row],[Customer ID]],customers!$A$1:$A$1001,customers!$I$1:$I$1001)</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 = 0, "", 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16"/>
        <v>35.64</v>
      </c>
      <c r="N573" t="str" cm="1">
        <f t="array" ref="N573">_xlfn.IFS(I573 = "Rob", "Robusta", I573 = "Exc", "Excelsa", I573 = "Ara", "Arabica", I573 = "Lib", "Liberica")</f>
        <v>Excelsa</v>
      </c>
      <c r="O573" t="str">
        <f t="shared" si="17"/>
        <v>Light</v>
      </c>
      <c r="P573" t="str">
        <f>_xlfn.XLOOKUP(orders[[#This Row],[Customer ID]],customers!$A$1:$A$1001,customers!$I$1:$I$1001)</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 = 0, "", 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16"/>
        <v>5.97</v>
      </c>
      <c r="N574" t="str" cm="1">
        <f t="array" ref="N574">_xlfn.IFS(I574 = "Rob", "Robusta", I574 = "Exc", "Excelsa", I574 = "Ara", "Arabica", I574 = "Lib", "Liberica")</f>
        <v>Arabica</v>
      </c>
      <c r="O574" t="str">
        <f t="shared" si="17"/>
        <v>Dark</v>
      </c>
      <c r="P574" t="str">
        <f>_xlfn.XLOOKUP(orders[[#This Row],[Customer ID]],customers!$A$1:$A$1001,customers!$I$1:$I$1001)</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 = 0, "", 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16"/>
        <v>67.5</v>
      </c>
      <c r="N575" t="str" cm="1">
        <f t="array" ref="N575">_xlfn.IFS(I575 = "Rob", "Robusta", I575 = "Exc", "Excelsa", I575 = "Ara", "Arabica", I575 = "Lib", "Liberica")</f>
        <v>Arabica</v>
      </c>
      <c r="O575" t="str">
        <f t="shared" si="17"/>
        <v>Medium</v>
      </c>
      <c r="P575" t="str">
        <f>_xlfn.XLOOKUP(orders[[#This Row],[Customer ID]],customers!$A$1:$A$1001,customers!$I$1:$I$1001)</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 = 0, "", 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16"/>
        <v>21.509999999999998</v>
      </c>
      <c r="N576" t="str" cm="1">
        <f t="array" ref="N576">_xlfn.IFS(I576 = "Rob", "Robusta", I576 = "Exc", "Excelsa", I576 = "Ara", "Arabica", I576 = "Lib", "Liberica")</f>
        <v>Robusta</v>
      </c>
      <c r="O576" t="str">
        <f t="shared" si="17"/>
        <v>Light</v>
      </c>
      <c r="P576" t="str">
        <f>_xlfn.XLOOKUP(orders[[#This Row],[Customer ID]],customers!$A$1:$A$1001,customers!$I$1:$I$1001)</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 = 0, "", 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16"/>
        <v>66.929999999999993</v>
      </c>
      <c r="N577" t="str" cm="1">
        <f t="array" ref="N577">_xlfn.IFS(I577 = "Rob", "Robusta", I577 = "Exc", "Excelsa", I577 = "Ara", "Arabica", I577 = "Lib", "Liberica")</f>
        <v>Liberica</v>
      </c>
      <c r="O577" t="str">
        <f t="shared" si="17"/>
        <v>Medium</v>
      </c>
      <c r="P577" t="str">
        <f>_xlfn.XLOOKUP(orders[[#This Row],[Customer ID]],customers!$A$1:$A$1001,customers!$I$1:$I$1001)</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 = 0, "", 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16"/>
        <v>17.91</v>
      </c>
      <c r="N578" t="str" cm="1">
        <f t="array" ref="N578">_xlfn.IFS(I578 = "Rob", "Robusta", I578 = "Exc", "Excelsa", I578 = "Ara", "Arabica", I578 = "Lib", "Liberica")</f>
        <v>Arabica</v>
      </c>
      <c r="O578" t="str">
        <f t="shared" si="17"/>
        <v>Dark</v>
      </c>
      <c r="P578" t="str">
        <f>_xlfn.XLOOKUP(orders[[#This Row],[Customer ID]],customers!$A$1:$A$1001,customers!$I$1:$I$1001)</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 = 0, "", 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18">SUM(L579*E579)</f>
        <v>58.2</v>
      </c>
      <c r="N579" t="str" cm="1">
        <f t="array" ref="N579">_xlfn.IFS(I579 = "Rob", "Robusta", I579 = "Exc", "Excelsa", I579 = "Ara", "Arabica", I579 = "Lib", "Liberica")</f>
        <v>Liberica</v>
      </c>
      <c r="O579" t="str">
        <f t="shared" ref="O579:O642" si="19">IF(J579 = "M", "Medium", IF(J579= "L", "Light",IF( J579 = "D", "Dark")))</f>
        <v>Medium</v>
      </c>
      <c r="P579" t="str">
        <f>_xlfn.XLOOKUP(orders[[#This Row],[Customer ID]],customers!$A$1:$A$1001,customers!$I$1:$I$1001)</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 = 0, "", 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18"/>
        <v>13.365</v>
      </c>
      <c r="N580" t="str" cm="1">
        <f t="array" ref="N580">_xlfn.IFS(I580 = "Rob", "Robusta", I580 = "Exc", "Excelsa", I580 = "Ara", "Arabica", I580 = "Lib", "Liberica")</f>
        <v>Excelsa</v>
      </c>
      <c r="O580" t="str">
        <f t="shared" si="19"/>
        <v>Light</v>
      </c>
      <c r="P580" t="str">
        <f>_xlfn.XLOOKUP(orders[[#This Row],[Customer ID]],customers!$A$1:$A$1001,customers!$I$1:$I$1001)</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 = 0, "", 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18"/>
        <v>33.75</v>
      </c>
      <c r="N581" t="str" cm="1">
        <f t="array" ref="N581">_xlfn.IFS(I581 = "Rob", "Robusta", I581 = "Exc", "Excelsa", I581 = "Ara", "Arabica", I581 = "Lib", "Liberica")</f>
        <v>Arabica</v>
      </c>
      <c r="O581" t="str">
        <f t="shared" si="19"/>
        <v>Medium</v>
      </c>
      <c r="P581" t="str">
        <f>_xlfn.XLOOKUP(orders[[#This Row],[Customer ID]],customers!$A$1:$A$1001,customers!$I$1:$I$1001)</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 = 0, "", 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18"/>
        <v>44.55</v>
      </c>
      <c r="N582" t="str" cm="1">
        <f t="array" ref="N582">_xlfn.IFS(I582 = "Rob", "Robusta", I582 = "Exc", "Excelsa", I582 = "Ara", "Arabica", I582 = "Lib", "Liberica")</f>
        <v>Excelsa</v>
      </c>
      <c r="O582" t="str">
        <f t="shared" si="19"/>
        <v>Light</v>
      </c>
      <c r="P582" t="str">
        <f>_xlfn.XLOOKUP(orders[[#This Row],[Customer ID]],customers!$A$1:$A$1001,customers!$I$1:$I$1001)</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 = 0, "", 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18"/>
        <v>44.55</v>
      </c>
      <c r="N583" t="str" cm="1">
        <f t="array" ref="N583">_xlfn.IFS(I583 = "Rob", "Robusta", I583 = "Exc", "Excelsa", I583 = "Ara", "Arabica", I583 = "Lib", "Liberica")</f>
        <v>Excelsa</v>
      </c>
      <c r="O583" t="str">
        <f t="shared" si="19"/>
        <v>Light</v>
      </c>
      <c r="P583" t="str">
        <f>_xlfn.XLOOKUP(orders[[#This Row],[Customer ID]],customers!$A$1:$A$1001,customers!$I$1:$I$1001)</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 = 0, "", 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18"/>
        <v>60.75</v>
      </c>
      <c r="N584" t="str" cm="1">
        <f t="array" ref="N584">_xlfn.IFS(I584 = "Rob", "Robusta", I584 = "Exc", "Excelsa", I584 = "Ara", "Arabica", I584 = "Lib", "Liberica")</f>
        <v>Excelsa</v>
      </c>
      <c r="O584" t="str">
        <f t="shared" si="19"/>
        <v>Dark</v>
      </c>
      <c r="P584" t="str">
        <f>_xlfn.XLOOKUP(orders[[#This Row],[Customer ID]],customers!$A$1:$A$1001,customers!$I$1:$I$1001)</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 = 0, "", 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18"/>
        <v>3.5849999999999995</v>
      </c>
      <c r="N585" t="str" cm="1">
        <f t="array" ref="N585">_xlfn.IFS(I585 = "Rob", "Robusta", I585 = "Exc", "Excelsa", I585 = "Ara", "Arabica", I585 = "Lib", "Liberica")</f>
        <v>Robusta</v>
      </c>
      <c r="O585" t="str">
        <f t="shared" si="19"/>
        <v>Light</v>
      </c>
      <c r="P585" t="str">
        <f>_xlfn.XLOOKUP(orders[[#This Row],[Customer ID]],customers!$A$1:$A$1001,customers!$I$1:$I$1001)</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 = 0, "", 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18"/>
        <v>21.509999999999998</v>
      </c>
      <c r="N586" t="str" cm="1">
        <f t="array" ref="N586">_xlfn.IFS(I586 = "Rob", "Robusta", I586 = "Exc", "Excelsa", I586 = "Ara", "Arabica", I586 = "Lib", "Liberica")</f>
        <v>Robusta</v>
      </c>
      <c r="O586" t="str">
        <f t="shared" si="19"/>
        <v>Light</v>
      </c>
      <c r="P586" t="str">
        <f>_xlfn.XLOOKUP(orders[[#This Row],[Customer ID]],customers!$A$1:$A$1001,customers!$I$1:$I$1001)</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 = 0, "", 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18"/>
        <v>16.5</v>
      </c>
      <c r="N587" t="str" cm="1">
        <f t="array" ref="N587">_xlfn.IFS(I587 = "Rob", "Robusta", I587 = "Exc", "Excelsa", I587 = "Ara", "Arabica", I587 = "Lib", "Liberica")</f>
        <v>Excelsa</v>
      </c>
      <c r="O587" t="str">
        <f t="shared" si="19"/>
        <v>Medium</v>
      </c>
      <c r="P587" t="str">
        <f>_xlfn.XLOOKUP(orders[[#This Row],[Customer ID]],customers!$A$1:$A$1001,customers!$I$1:$I$1001)</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 = 0, "", 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18"/>
        <v>82.454999999999984</v>
      </c>
      <c r="N588" t="str" cm="1">
        <f t="array" ref="N588">_xlfn.IFS(I588 = "Rob", "Robusta", I588 = "Exc", "Excelsa", I588 = "Ara", "Arabica", I588 = "Lib", "Liberica")</f>
        <v>Robusta</v>
      </c>
      <c r="O588" t="str">
        <f t="shared" si="19"/>
        <v>Light</v>
      </c>
      <c r="P588" t="str">
        <f>_xlfn.XLOOKUP(orders[[#This Row],[Customer ID]],customers!$A$1:$A$1001,customers!$I$1:$I$1001)</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 = 0, "", 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18"/>
        <v>7.77</v>
      </c>
      <c r="N589" t="str" cm="1">
        <f t="array" ref="N589">_xlfn.IFS(I589 = "Rob", "Robusta", I589 = "Exc", "Excelsa", I589 = "Ara", "Arabica", I589 = "Lib", "Liberica")</f>
        <v>Liberica</v>
      </c>
      <c r="O589" t="str">
        <f t="shared" si="19"/>
        <v>Dark</v>
      </c>
      <c r="P589" t="str">
        <f>_xlfn.XLOOKUP(orders[[#This Row],[Customer ID]],customers!$A$1:$A$1001,customers!$I$1:$I$1001)</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 = 0, "", 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18"/>
        <v>11.94</v>
      </c>
      <c r="N590" t="str" cm="1">
        <f t="array" ref="N590">_xlfn.IFS(I590 = "Rob", "Robusta", I590 = "Exc", "Excelsa", I590 = "Ara", "Arabica", I590 = "Lib", "Liberica")</f>
        <v>Robusta</v>
      </c>
      <c r="O590" t="str">
        <f t="shared" si="19"/>
        <v>Medium</v>
      </c>
      <c r="P590" t="str">
        <f>_xlfn.XLOOKUP(orders[[#This Row],[Customer ID]],customers!$A$1:$A$1001,customers!$I$1:$I$1001)</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 = 0, "", 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18"/>
        <v>204.92999999999995</v>
      </c>
      <c r="N591" t="str" cm="1">
        <f t="array" ref="N591">_xlfn.IFS(I591 = "Rob", "Robusta", I591 = "Exc", "Excelsa", I591 = "Ara", "Arabica", I591 = "Lib", "Liberica")</f>
        <v>Excelsa</v>
      </c>
      <c r="O591" t="str">
        <f t="shared" si="19"/>
        <v>Light</v>
      </c>
      <c r="P591" t="str">
        <f>_xlfn.XLOOKUP(orders[[#This Row],[Customer ID]],customers!$A$1:$A$1001,customers!$I$1:$I$1001)</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 = 0, "", 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18"/>
        <v>63.249999999999993</v>
      </c>
      <c r="N592" t="str" cm="1">
        <f t="array" ref="N592">_xlfn.IFS(I592 = "Rob", "Robusta", I592 = "Exc", "Excelsa", I592 = "Ara", "Arabica", I592 = "Lib", "Liberica")</f>
        <v>Excelsa</v>
      </c>
      <c r="O592" t="str">
        <f t="shared" si="19"/>
        <v>Medium</v>
      </c>
      <c r="P592" t="str">
        <f>_xlfn.XLOOKUP(orders[[#This Row],[Customer ID]],customers!$A$1:$A$1001,customers!$I$1:$I$1001)</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 = 0, "", 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18"/>
        <v>8.0549999999999997</v>
      </c>
      <c r="N593" t="str" cm="1">
        <f t="array" ref="N593">_xlfn.IFS(I593 = "Rob", "Robusta", I593 = "Exc", "Excelsa", I593 = "Ara", "Arabica", I593 = "Lib", "Liberica")</f>
        <v>Robusta</v>
      </c>
      <c r="O593" t="str">
        <f t="shared" si="19"/>
        <v>Dark</v>
      </c>
      <c r="P593" t="str">
        <f>_xlfn.XLOOKUP(orders[[#This Row],[Customer ID]],customers!$A$1:$A$1001,customers!$I$1:$I$1001)</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 = 0, "", 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18"/>
        <v>51.749999999999993</v>
      </c>
      <c r="N594" t="str" cm="1">
        <f t="array" ref="N594">_xlfn.IFS(I594 = "Rob", "Robusta", I594 = "Exc", "Excelsa", I594 = "Ara", "Arabica", I594 = "Lib", "Liberica")</f>
        <v>Arabica</v>
      </c>
      <c r="O594" t="str">
        <f t="shared" si="19"/>
        <v>Medium</v>
      </c>
      <c r="P594" t="str">
        <f>_xlfn.XLOOKUP(orders[[#This Row],[Customer ID]],customers!$A$1:$A$1001,customers!$I$1:$I$1001)</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 = 0, "", 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18"/>
        <v>27.945</v>
      </c>
      <c r="N595" t="str" cm="1">
        <f t="array" ref="N595">_xlfn.IFS(I595 = "Rob", "Robusta", I595 = "Exc", "Excelsa", I595 = "Ara", "Arabica", I595 = "Lib", "Liberica")</f>
        <v>Excelsa</v>
      </c>
      <c r="O595" t="str">
        <f t="shared" si="19"/>
        <v>Dark</v>
      </c>
      <c r="P595" t="str">
        <f>_xlfn.XLOOKUP(orders[[#This Row],[Customer ID]],customers!$A$1:$A$1001,customers!$I$1:$I$1001)</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 = 0, "", 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18"/>
        <v>59.569999999999993</v>
      </c>
      <c r="N596" t="str" cm="1">
        <f t="array" ref="N596">_xlfn.IFS(I596 = "Rob", "Robusta", I596 = "Exc", "Excelsa", I596 = "Ara", "Arabica", I596 = "Lib", "Liberica")</f>
        <v>Arabica</v>
      </c>
      <c r="O596" t="str">
        <f t="shared" si="19"/>
        <v>Light</v>
      </c>
      <c r="P596" t="str">
        <f>_xlfn.XLOOKUP(orders[[#This Row],[Customer ID]],customers!$A$1:$A$1001,customers!$I$1:$I$1001)</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 = 0, "", 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18"/>
        <v>14.85</v>
      </c>
      <c r="N597" t="str" cm="1">
        <f t="array" ref="N597">_xlfn.IFS(I597 = "Rob", "Robusta", I597 = "Exc", "Excelsa", I597 = "Ara", "Arabica", I597 = "Lib", "Liberica")</f>
        <v>Excelsa</v>
      </c>
      <c r="O597" t="str">
        <f t="shared" si="19"/>
        <v>Light</v>
      </c>
      <c r="P597" t="str">
        <f>_xlfn.XLOOKUP(orders[[#This Row],[Customer ID]],customers!$A$1:$A$1001,customers!$I$1:$I$1001)</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 = 0, "", 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18"/>
        <v>33.75</v>
      </c>
      <c r="N598" t="str" cm="1">
        <f t="array" ref="N598">_xlfn.IFS(I598 = "Rob", "Robusta", I598 = "Exc", "Excelsa", I598 = "Ara", "Arabica", I598 = "Lib", "Liberica")</f>
        <v>Arabica</v>
      </c>
      <c r="O598" t="str">
        <f t="shared" si="19"/>
        <v>Medium</v>
      </c>
      <c r="P598" t="str">
        <f>_xlfn.XLOOKUP(orders[[#This Row],[Customer ID]],customers!$A$1:$A$1001,customers!$I$1:$I$1001)</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 = 0, "", 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18"/>
        <v>145.82</v>
      </c>
      <c r="N599" t="str" cm="1">
        <f t="array" ref="N599">_xlfn.IFS(I599 = "Rob", "Robusta", I599 = "Exc", "Excelsa", I599 = "Ara", "Arabica", I599 = "Lib", "Liberica")</f>
        <v>Liberica</v>
      </c>
      <c r="O599" t="str">
        <f t="shared" si="19"/>
        <v>Light</v>
      </c>
      <c r="P599" t="str">
        <f>_xlfn.XLOOKUP(orders[[#This Row],[Customer ID]],customers!$A$1:$A$1001,customers!$I$1:$I$1001)</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 = 0, "", 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18"/>
        <v>11.94</v>
      </c>
      <c r="N600" t="str" cm="1">
        <f t="array" ref="N600">_xlfn.IFS(I600 = "Rob", "Robusta", I600 = "Exc", "Excelsa", I600 = "Ara", "Arabica", I600 = "Lib", "Liberica")</f>
        <v>Robusta</v>
      </c>
      <c r="O600" t="str">
        <f t="shared" si="19"/>
        <v>Medium</v>
      </c>
      <c r="P600" t="str">
        <f>_xlfn.XLOOKUP(orders[[#This Row],[Customer ID]],customers!$A$1:$A$1001,customers!$I$1:$I$1001)</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 = 0, "", 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18"/>
        <v>11.94</v>
      </c>
      <c r="N601" t="str" cm="1">
        <f t="array" ref="N601">_xlfn.IFS(I601 = "Rob", "Robusta", I601 = "Exc", "Excelsa", I601 = "Ara", "Arabica", I601 = "Lib", "Liberica")</f>
        <v>Arabica</v>
      </c>
      <c r="O601" t="str">
        <f t="shared" si="19"/>
        <v>Dark</v>
      </c>
      <c r="P601" t="str">
        <f>_xlfn.XLOOKUP(orders[[#This Row],[Customer ID]],customers!$A$1:$A$1001,customers!$I$1:$I$1001)</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 = 0, "", 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18"/>
        <v>7.77</v>
      </c>
      <c r="N602" t="str" cm="1">
        <f t="array" ref="N602">_xlfn.IFS(I602 = "Rob", "Robusta", I602 = "Exc", "Excelsa", I602 = "Ara", "Arabica", I602 = "Lib", "Liberica")</f>
        <v>Liberica</v>
      </c>
      <c r="O602" t="str">
        <f t="shared" si="19"/>
        <v>Dark</v>
      </c>
      <c r="P602" t="str">
        <f>_xlfn.XLOOKUP(orders[[#This Row],[Customer ID]],customers!$A$1:$A$1001,customers!$I$1:$I$1001)</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 = 0, "", 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18"/>
        <v>109.93999999999998</v>
      </c>
      <c r="N603" t="str" cm="1">
        <f t="array" ref="N603">_xlfn.IFS(I603 = "Rob", "Robusta", I603 = "Exc", "Excelsa", I603 = "Ara", "Arabica", I603 = "Lib", "Liberica")</f>
        <v>Robusta</v>
      </c>
      <c r="O603" t="str">
        <f t="shared" si="19"/>
        <v>Light</v>
      </c>
      <c r="P603" t="str">
        <f>_xlfn.XLOOKUP(orders[[#This Row],[Customer ID]],customers!$A$1:$A$1001,customers!$I$1:$I$1001)</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 = 0, "", 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18"/>
        <v>22.274999999999999</v>
      </c>
      <c r="N604" t="str" cm="1">
        <f t="array" ref="N604">_xlfn.IFS(I604 = "Rob", "Robusta", I604 = "Exc", "Excelsa", I604 = "Ara", "Arabica", I604 = "Lib", "Liberica")</f>
        <v>Excelsa</v>
      </c>
      <c r="O604" t="str">
        <f t="shared" si="19"/>
        <v>Light</v>
      </c>
      <c r="P604" t="str">
        <f>_xlfn.XLOOKUP(orders[[#This Row],[Customer ID]],customers!$A$1:$A$1001,customers!$I$1:$I$1001)</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 = 0, "", 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18"/>
        <v>8.9550000000000001</v>
      </c>
      <c r="N605" t="str" cm="1">
        <f t="array" ref="N605">_xlfn.IFS(I605 = "Rob", "Robusta", I605 = "Exc", "Excelsa", I605 = "Ara", "Arabica", I605 = "Lib", "Liberica")</f>
        <v>Robusta</v>
      </c>
      <c r="O605" t="str">
        <f t="shared" si="19"/>
        <v>Medium</v>
      </c>
      <c r="P605" t="str">
        <f>_xlfn.XLOOKUP(orders[[#This Row],[Customer ID]],customers!$A$1:$A$1001,customers!$I$1:$I$1001)</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 = 0, "", 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18"/>
        <v>119.13999999999999</v>
      </c>
      <c r="N606" t="str" cm="1">
        <f t="array" ref="N606">_xlfn.IFS(I606 = "Rob", "Robusta", I606 = "Exc", "Excelsa", I606 = "Ara", "Arabica", I606 = "Lib", "Liberica")</f>
        <v>Liberica</v>
      </c>
      <c r="O606" t="str">
        <f t="shared" si="19"/>
        <v>Dark</v>
      </c>
      <c r="P606" t="str">
        <f>_xlfn.XLOOKUP(orders[[#This Row],[Customer ID]],customers!$A$1:$A$1001,customers!$I$1:$I$1001)</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 = 0, "", 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18"/>
        <v>148.92499999999998</v>
      </c>
      <c r="N607" t="str" cm="1">
        <f t="array" ref="N607">_xlfn.IFS(I607 = "Rob", "Robusta", I607 = "Exc", "Excelsa", I607 = "Ara", "Arabica", I607 = "Lib", "Liberica")</f>
        <v>Arabica</v>
      </c>
      <c r="O607" t="str">
        <f t="shared" si="19"/>
        <v>Light</v>
      </c>
      <c r="P607" t="str">
        <f>_xlfn.XLOOKUP(orders[[#This Row],[Customer ID]],customers!$A$1:$A$1001,customers!$I$1:$I$1001)</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 = 0, "", 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18"/>
        <v>109.36499999999999</v>
      </c>
      <c r="N608" t="str" cm="1">
        <f t="array" ref="N608">_xlfn.IFS(I608 = "Rob", "Robusta", I608 = "Exc", "Excelsa", I608 = "Ara", "Arabica", I608 = "Lib", "Liberica")</f>
        <v>Liberica</v>
      </c>
      <c r="O608" t="str">
        <f t="shared" si="19"/>
        <v>Light</v>
      </c>
      <c r="P608" t="str">
        <f>_xlfn.XLOOKUP(orders[[#This Row],[Customer ID]],customers!$A$1:$A$1001,customers!$I$1:$I$1001)</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 = 0, "", 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18"/>
        <v>3.645</v>
      </c>
      <c r="N609" t="str" cm="1">
        <f t="array" ref="N609">_xlfn.IFS(I609 = "Rob", "Robusta", I609 = "Exc", "Excelsa", I609 = "Ara", "Arabica", I609 = "Lib", "Liberica")</f>
        <v>Excelsa</v>
      </c>
      <c r="O609" t="str">
        <f t="shared" si="19"/>
        <v>Dark</v>
      </c>
      <c r="P609" t="str">
        <f>_xlfn.XLOOKUP(orders[[#This Row],[Customer ID]],customers!$A$1:$A$1001,customers!$I$1:$I$1001)</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 = 0, "", 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18"/>
        <v>55.89</v>
      </c>
      <c r="N610" t="str" cm="1">
        <f t="array" ref="N610">_xlfn.IFS(I610 = "Rob", "Robusta", I610 = "Exc", "Excelsa", I610 = "Ara", "Arabica", I610 = "Lib", "Liberica")</f>
        <v>Excelsa</v>
      </c>
      <c r="O610" t="str">
        <f t="shared" si="19"/>
        <v>Dark</v>
      </c>
      <c r="P610" t="str">
        <f>_xlfn.XLOOKUP(orders[[#This Row],[Customer ID]],customers!$A$1:$A$1001,customers!$I$1:$I$1001)</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 = 0, "", 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18"/>
        <v>26.19</v>
      </c>
      <c r="N611" t="str" cm="1">
        <f t="array" ref="N611">_xlfn.IFS(I611 = "Rob", "Robusta", I611 = "Exc", "Excelsa", I611 = "Ara", "Arabica", I611 = "Lib", "Liberica")</f>
        <v>Liberica</v>
      </c>
      <c r="O611" t="str">
        <f t="shared" si="19"/>
        <v>Medium</v>
      </c>
      <c r="P611" t="str">
        <f>_xlfn.XLOOKUP(orders[[#This Row],[Customer ID]],customers!$A$1:$A$1001,customers!$I$1:$I$1001)</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 = 0, "", 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18"/>
        <v>39.799999999999997</v>
      </c>
      <c r="N612" t="str" cm="1">
        <f t="array" ref="N612">_xlfn.IFS(I612 = "Rob", "Robusta", I612 = "Exc", "Excelsa", I612 = "Ara", "Arabica", I612 = "Lib", "Liberica")</f>
        <v>Robusta</v>
      </c>
      <c r="O612" t="str">
        <f t="shared" si="19"/>
        <v>Medium</v>
      </c>
      <c r="P612" t="str">
        <f>_xlfn.XLOOKUP(orders[[#This Row],[Customer ID]],customers!$A$1:$A$1001,customers!$I$1:$I$1001)</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 = 0, "", 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18"/>
        <v>68.309999999999988</v>
      </c>
      <c r="N613" t="str" cm="1">
        <f t="array" ref="N613">_xlfn.IFS(I613 = "Rob", "Robusta", I613 = "Exc", "Excelsa", I613 = "Ara", "Arabica", I613 = "Lib", "Liberica")</f>
        <v>Excelsa</v>
      </c>
      <c r="O613" t="str">
        <f t="shared" si="19"/>
        <v>Light</v>
      </c>
      <c r="P613" t="str">
        <f>_xlfn.XLOOKUP(orders[[#This Row],[Customer ID]],customers!$A$1:$A$1001,customers!$I$1:$I$1001)</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 = 0, "", 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18"/>
        <v>13.5</v>
      </c>
      <c r="N614" t="str" cm="1">
        <f t="array" ref="N614">_xlfn.IFS(I614 = "Rob", "Robusta", I614 = "Exc", "Excelsa", I614 = "Ara", "Arabica", I614 = "Lib", "Liberica")</f>
        <v>Arabica</v>
      </c>
      <c r="O614" t="str">
        <f t="shared" si="19"/>
        <v>Medium</v>
      </c>
      <c r="P614" t="str">
        <f>_xlfn.XLOOKUP(orders[[#This Row],[Customer ID]],customers!$A$1:$A$1001,customers!$I$1:$I$1001)</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 = 0, "", 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18"/>
        <v>5.97</v>
      </c>
      <c r="N615" t="str" cm="1">
        <f t="array" ref="N615">_xlfn.IFS(I615 = "Rob", "Robusta", I615 = "Exc", "Excelsa", I615 = "Ara", "Arabica", I615 = "Lib", "Liberica")</f>
        <v>Robusta</v>
      </c>
      <c r="O615" t="str">
        <f t="shared" si="19"/>
        <v>Medium</v>
      </c>
      <c r="P615" t="str">
        <f>_xlfn.XLOOKUP(orders[[#This Row],[Customer ID]],customers!$A$1:$A$1001,customers!$I$1:$I$1001)</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 = 0, "", 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18"/>
        <v>29.849999999999998</v>
      </c>
      <c r="N616" t="str" cm="1">
        <f t="array" ref="N616">_xlfn.IFS(I616 = "Rob", "Robusta", I616 = "Exc", "Excelsa", I616 = "Ara", "Arabica", I616 = "Lib", "Liberica")</f>
        <v>Robusta</v>
      </c>
      <c r="O616" t="str">
        <f t="shared" si="19"/>
        <v>Medium</v>
      </c>
      <c r="P616" t="str">
        <f>_xlfn.XLOOKUP(orders[[#This Row],[Customer ID]],customers!$A$1:$A$1001,customers!$I$1:$I$1001)</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 = 0, "", 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18"/>
        <v>72.91</v>
      </c>
      <c r="N617" t="str" cm="1">
        <f t="array" ref="N617">_xlfn.IFS(I617 = "Rob", "Robusta", I617 = "Exc", "Excelsa", I617 = "Ara", "Arabica", I617 = "Lib", "Liberica")</f>
        <v>Liberica</v>
      </c>
      <c r="O617" t="str">
        <f t="shared" si="19"/>
        <v>Light</v>
      </c>
      <c r="P617" t="str">
        <f>_xlfn.XLOOKUP(orders[[#This Row],[Customer ID]],customers!$A$1:$A$1001,customers!$I$1:$I$1001)</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 = 0, "", 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18"/>
        <v>126.49999999999999</v>
      </c>
      <c r="N618" t="str" cm="1">
        <f t="array" ref="N618">_xlfn.IFS(I618 = "Rob", "Robusta", I618 = "Exc", "Excelsa", I618 = "Ara", "Arabica", I618 = "Lib", "Liberica")</f>
        <v>Excelsa</v>
      </c>
      <c r="O618" t="str">
        <f t="shared" si="19"/>
        <v>Medium</v>
      </c>
      <c r="P618" t="str">
        <f>_xlfn.XLOOKUP(orders[[#This Row],[Customer ID]],customers!$A$1:$A$1001,customers!$I$1:$I$1001)</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 = 0, "", 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18"/>
        <v>33.464999999999996</v>
      </c>
      <c r="N619" t="str" cm="1">
        <f t="array" ref="N619">_xlfn.IFS(I619 = "Rob", "Robusta", I619 = "Exc", "Excelsa", I619 = "Ara", "Arabica", I619 = "Lib", "Liberica")</f>
        <v>Liberica</v>
      </c>
      <c r="O619" t="str">
        <f t="shared" si="19"/>
        <v>Medium</v>
      </c>
      <c r="P619" t="str">
        <f>_xlfn.XLOOKUP(orders[[#This Row],[Customer ID]],customers!$A$1:$A$1001,customers!$I$1:$I$1001)</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 = 0, "", 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18"/>
        <v>72.900000000000006</v>
      </c>
      <c r="N620" t="str" cm="1">
        <f t="array" ref="N620">_xlfn.IFS(I620 = "Rob", "Robusta", I620 = "Exc", "Excelsa", I620 = "Ara", "Arabica", I620 = "Lib", "Liberica")</f>
        <v>Excelsa</v>
      </c>
      <c r="O620" t="str">
        <f t="shared" si="19"/>
        <v>Dark</v>
      </c>
      <c r="P620" t="str">
        <f>_xlfn.XLOOKUP(orders[[#This Row],[Customer ID]],customers!$A$1:$A$1001,customers!$I$1:$I$1001)</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 = 0, "", 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18"/>
        <v>15.54</v>
      </c>
      <c r="N621" t="str" cm="1">
        <f t="array" ref="N621">_xlfn.IFS(I621 = "Rob", "Robusta", I621 = "Exc", "Excelsa", I621 = "Ara", "Arabica", I621 = "Lib", "Liberica")</f>
        <v>Liberica</v>
      </c>
      <c r="O621" t="str">
        <f t="shared" si="19"/>
        <v>Dark</v>
      </c>
      <c r="P621" t="str">
        <f>_xlfn.XLOOKUP(orders[[#This Row],[Customer ID]],customers!$A$1:$A$1001,customers!$I$1:$I$1001)</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 = 0, "", 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18"/>
        <v>20.25</v>
      </c>
      <c r="N622" t="str" cm="1">
        <f t="array" ref="N622">_xlfn.IFS(I622 = "Rob", "Robusta", I622 = "Exc", "Excelsa", I622 = "Ara", "Arabica", I622 = "Lib", "Liberica")</f>
        <v>Arabica</v>
      </c>
      <c r="O622" t="str">
        <f t="shared" si="19"/>
        <v>Medium</v>
      </c>
      <c r="P622" t="str">
        <f>_xlfn.XLOOKUP(orders[[#This Row],[Customer ID]],customers!$A$1:$A$1001,customers!$I$1:$I$1001)</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 = 0, "", 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18"/>
        <v>77.699999999999989</v>
      </c>
      <c r="N623" t="str" cm="1">
        <f t="array" ref="N623">_xlfn.IFS(I623 = "Rob", "Robusta", I623 = "Exc", "Excelsa", I623 = "Ara", "Arabica", I623 = "Lib", "Liberica")</f>
        <v>Arabica</v>
      </c>
      <c r="O623" t="str">
        <f t="shared" si="19"/>
        <v>Light</v>
      </c>
      <c r="P623" t="str">
        <f>_xlfn.XLOOKUP(orders[[#This Row],[Customer ID]],customers!$A$1:$A$1001,customers!$I$1:$I$1001)</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 = 0, "", 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18"/>
        <v>133.85999999999999</v>
      </c>
      <c r="N624" t="str" cm="1">
        <f t="array" ref="N624">_xlfn.IFS(I624 = "Rob", "Robusta", I624 = "Exc", "Excelsa", I624 = "Ara", "Arabica", I624 = "Lib", "Liberica")</f>
        <v>Liberica</v>
      </c>
      <c r="O624" t="str">
        <f t="shared" si="19"/>
        <v>Medium</v>
      </c>
      <c r="P624" t="str">
        <f>_xlfn.XLOOKUP(orders[[#This Row],[Customer ID]],customers!$A$1:$A$1001,customers!$I$1:$I$1001)</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 = 0, "", 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18"/>
        <v>12.15</v>
      </c>
      <c r="N625" t="str" cm="1">
        <f t="array" ref="N625">_xlfn.IFS(I625 = "Rob", "Robusta", I625 = "Exc", "Excelsa", I625 = "Ara", "Arabica", I625 = "Lib", "Liberica")</f>
        <v>Excelsa</v>
      </c>
      <c r="O625" t="str">
        <f t="shared" si="19"/>
        <v>Dark</v>
      </c>
      <c r="P625" t="str">
        <f>_xlfn.XLOOKUP(orders[[#This Row],[Customer ID]],customers!$A$1:$A$1001,customers!$I$1:$I$1001)</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 = 0, "", 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18"/>
        <v>63.249999999999993</v>
      </c>
      <c r="N626" t="str" cm="1">
        <f t="array" ref="N626">_xlfn.IFS(I626 = "Rob", "Robusta", I626 = "Exc", "Excelsa", I626 = "Ara", "Arabica", I626 = "Lib", "Liberica")</f>
        <v>Excelsa</v>
      </c>
      <c r="O626" t="str">
        <f t="shared" si="19"/>
        <v>Medium</v>
      </c>
      <c r="P626" t="str">
        <f>_xlfn.XLOOKUP(orders[[#This Row],[Customer ID]],customers!$A$1:$A$1001,customers!$I$1:$I$1001)</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 = 0, "", 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18"/>
        <v>35.849999999999994</v>
      </c>
      <c r="N627" t="str" cm="1">
        <f t="array" ref="N627">_xlfn.IFS(I627 = "Rob", "Robusta", I627 = "Exc", "Excelsa", I627 = "Ara", "Arabica", I627 = "Lib", "Liberica")</f>
        <v>Robusta</v>
      </c>
      <c r="O627" t="str">
        <f t="shared" si="19"/>
        <v>Light</v>
      </c>
      <c r="P627" t="str">
        <f>_xlfn.XLOOKUP(orders[[#This Row],[Customer ID]],customers!$A$1:$A$1001,customers!$I$1:$I$1001)</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 = 0, "", 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18"/>
        <v>77.624999999999986</v>
      </c>
      <c r="N628" t="str" cm="1">
        <f t="array" ref="N628">_xlfn.IFS(I628 = "Rob", "Robusta", I628 = "Exc", "Excelsa", I628 = "Ara", "Arabica", I628 = "Lib", "Liberica")</f>
        <v>Arabica</v>
      </c>
      <c r="O628" t="str">
        <f t="shared" si="19"/>
        <v>Medium</v>
      </c>
      <c r="P628" t="str">
        <f>_xlfn.XLOOKUP(orders[[#This Row],[Customer ID]],customers!$A$1:$A$1001,customers!$I$1:$I$1001)</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 = 0, "", 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18"/>
        <v>63.249999999999993</v>
      </c>
      <c r="N629" t="str" cm="1">
        <f t="array" ref="N629">_xlfn.IFS(I629 = "Rob", "Robusta", I629 = "Exc", "Excelsa", I629 = "Ara", "Arabica", I629 = "Lib", "Liberica")</f>
        <v>Excelsa</v>
      </c>
      <c r="O629" t="str">
        <f t="shared" si="19"/>
        <v>Medium</v>
      </c>
      <c r="P629" t="str">
        <f>_xlfn.XLOOKUP(orders[[#This Row],[Customer ID]],customers!$A$1:$A$1001,customers!$I$1:$I$1001)</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 = 0, "", 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18"/>
        <v>26.73</v>
      </c>
      <c r="N630" t="str" cm="1">
        <f t="array" ref="N630">_xlfn.IFS(I630 = "Rob", "Robusta", I630 = "Exc", "Excelsa", I630 = "Ara", "Arabica", I630 = "Lib", "Liberica")</f>
        <v>Excelsa</v>
      </c>
      <c r="O630" t="str">
        <f t="shared" si="19"/>
        <v>Light</v>
      </c>
      <c r="P630" t="str">
        <f>_xlfn.XLOOKUP(orders[[#This Row],[Customer ID]],customers!$A$1:$A$1001,customers!$I$1:$I$1001)</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 = 0, "", 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18"/>
        <v>31.08</v>
      </c>
      <c r="N631" t="str" cm="1">
        <f t="array" ref="N631">_xlfn.IFS(I631 = "Rob", "Robusta", I631 = "Exc", "Excelsa", I631 = "Ara", "Arabica", I631 = "Lib", "Liberica")</f>
        <v>Liberica</v>
      </c>
      <c r="O631" t="str">
        <f t="shared" si="19"/>
        <v>Dark</v>
      </c>
      <c r="P631" t="str">
        <f>_xlfn.XLOOKUP(orders[[#This Row],[Customer ID]],customers!$A$1:$A$1001,customers!$I$1:$I$1001)</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 = 0, "", 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18"/>
        <v>2.9849999999999999</v>
      </c>
      <c r="N632" t="str" cm="1">
        <f t="array" ref="N632">_xlfn.IFS(I632 = "Rob", "Robusta", I632 = "Exc", "Excelsa", I632 = "Ara", "Arabica", I632 = "Lib", "Liberica")</f>
        <v>Arabica</v>
      </c>
      <c r="O632" t="str">
        <f t="shared" si="19"/>
        <v>Dark</v>
      </c>
      <c r="P632" t="str">
        <f>_xlfn.XLOOKUP(orders[[#This Row],[Customer ID]],customers!$A$1:$A$1001,customers!$I$1:$I$1001)</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 = 0, "", 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18"/>
        <v>102.92499999999998</v>
      </c>
      <c r="N633" t="str" cm="1">
        <f t="array" ref="N633">_xlfn.IFS(I633 = "Rob", "Robusta", I633 = "Exc", "Excelsa", I633 = "Ara", "Arabica", I633 = "Lib", "Liberica")</f>
        <v>Robusta</v>
      </c>
      <c r="O633" t="str">
        <f t="shared" si="19"/>
        <v>Dark</v>
      </c>
      <c r="P633" t="str">
        <f>_xlfn.XLOOKUP(orders[[#This Row],[Customer ID]],customers!$A$1:$A$1001,customers!$I$1:$I$1001)</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 = 0, "", 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18"/>
        <v>35.64</v>
      </c>
      <c r="N634" t="str" cm="1">
        <f t="array" ref="N634">_xlfn.IFS(I634 = "Rob", "Robusta", I634 = "Exc", "Excelsa", I634 = "Ara", "Arabica", I634 = "Lib", "Liberica")</f>
        <v>Excelsa</v>
      </c>
      <c r="O634" t="str">
        <f t="shared" si="19"/>
        <v>Light</v>
      </c>
      <c r="P634" t="str">
        <f>_xlfn.XLOOKUP(orders[[#This Row],[Customer ID]],customers!$A$1:$A$1001,customers!$I$1:$I$1001)</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 = 0, "", 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18"/>
        <v>47.8</v>
      </c>
      <c r="N635" t="str" cm="1">
        <f t="array" ref="N635">_xlfn.IFS(I635 = "Rob", "Robusta", I635 = "Exc", "Excelsa", I635 = "Ara", "Arabica", I635 = "Lib", "Liberica")</f>
        <v>Robusta</v>
      </c>
      <c r="O635" t="str">
        <f t="shared" si="19"/>
        <v>Light</v>
      </c>
      <c r="P635" t="str">
        <f>_xlfn.XLOOKUP(orders[[#This Row],[Customer ID]],customers!$A$1:$A$1001,customers!$I$1:$I$1001)</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 = 0, "", 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18"/>
        <v>43.650000000000006</v>
      </c>
      <c r="N636" t="str" cm="1">
        <f t="array" ref="N636">_xlfn.IFS(I636 = "Rob", "Robusta", I636 = "Exc", "Excelsa", I636 = "Ara", "Arabica", I636 = "Lib", "Liberica")</f>
        <v>Liberica</v>
      </c>
      <c r="O636" t="str">
        <f t="shared" si="19"/>
        <v>Medium</v>
      </c>
      <c r="P636" t="str">
        <f>_xlfn.XLOOKUP(orders[[#This Row],[Customer ID]],customers!$A$1:$A$1001,customers!$I$1:$I$1001)</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 = 0, "", 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18"/>
        <v>35.64</v>
      </c>
      <c r="N637" t="str" cm="1">
        <f t="array" ref="N637">_xlfn.IFS(I637 = "Rob", "Robusta", I637 = "Exc", "Excelsa", I637 = "Ara", "Arabica", I637 = "Lib", "Liberica")</f>
        <v>Excelsa</v>
      </c>
      <c r="O637" t="str">
        <f t="shared" si="19"/>
        <v>Light</v>
      </c>
      <c r="P637" t="str">
        <f>_xlfn.XLOOKUP(orders[[#This Row],[Customer ID]],customers!$A$1:$A$1001,customers!$I$1:$I$1001)</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 = 0, "", 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18"/>
        <v>95.1</v>
      </c>
      <c r="N638" t="str" cm="1">
        <f t="array" ref="N638">_xlfn.IFS(I638 = "Rob", "Robusta", I638 = "Exc", "Excelsa", I638 = "Ara", "Arabica", I638 = "Lib", "Liberica")</f>
        <v>Liberica</v>
      </c>
      <c r="O638" t="str">
        <f t="shared" si="19"/>
        <v>Light</v>
      </c>
      <c r="P638" t="str">
        <f>_xlfn.XLOOKUP(orders[[#This Row],[Customer ID]],customers!$A$1:$A$1001,customers!$I$1:$I$1001)</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 = 0, "", 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18"/>
        <v>31.624999999999996</v>
      </c>
      <c r="N639" t="str" cm="1">
        <f t="array" ref="N639">_xlfn.IFS(I639 = "Rob", "Robusta", I639 = "Exc", "Excelsa", I639 = "Ara", "Arabica", I639 = "Lib", "Liberica")</f>
        <v>Excelsa</v>
      </c>
      <c r="O639" t="str">
        <f t="shared" si="19"/>
        <v>Medium</v>
      </c>
      <c r="P639" t="str">
        <f>_xlfn.XLOOKUP(orders[[#This Row],[Customer ID]],customers!$A$1:$A$1001,customers!$I$1:$I$1001)</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 = 0, "", 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18"/>
        <v>77.624999999999986</v>
      </c>
      <c r="N640" t="str" cm="1">
        <f t="array" ref="N640">_xlfn.IFS(I640 = "Rob", "Robusta", I640 = "Exc", "Excelsa", I640 = "Ara", "Arabica", I640 = "Lib", "Liberica")</f>
        <v>Arabica</v>
      </c>
      <c r="O640" t="str">
        <f t="shared" si="19"/>
        <v>Medium</v>
      </c>
      <c r="P640" t="str">
        <f>_xlfn.XLOOKUP(orders[[#This Row],[Customer ID]],customers!$A$1:$A$1001,customers!$I$1:$I$1001)</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 = 0, "", 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18"/>
        <v>3.8849999999999998</v>
      </c>
      <c r="N641" t="str" cm="1">
        <f t="array" ref="N641">_xlfn.IFS(I641 = "Rob", "Robusta", I641 = "Exc", "Excelsa", I641 = "Ara", "Arabica", I641 = "Lib", "Liberica")</f>
        <v>Liberica</v>
      </c>
      <c r="O641" t="str">
        <f t="shared" si="19"/>
        <v>Dark</v>
      </c>
      <c r="P641" t="str">
        <f>_xlfn.XLOOKUP(orders[[#This Row],[Customer ID]],customers!$A$1:$A$1001,customers!$I$1:$I$1001)</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 = 0, "", 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18"/>
        <v>137.42499999999998</v>
      </c>
      <c r="N642" t="str" cm="1">
        <f t="array" ref="N642">_xlfn.IFS(I642 = "Rob", "Robusta", I642 = "Exc", "Excelsa", I642 = "Ara", "Arabica", I642 = "Lib", "Liberica")</f>
        <v>Robusta</v>
      </c>
      <c r="O642" t="str">
        <f t="shared" si="19"/>
        <v>Light</v>
      </c>
      <c r="P642" t="str">
        <f>_xlfn.XLOOKUP(orders[[#This Row],[Customer ID]],customers!$A$1:$A$1001,customers!$I$1:$I$1001)</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 = 0, "", 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20">SUM(L643*E643)</f>
        <v>35.849999999999994</v>
      </c>
      <c r="N643" t="str" cm="1">
        <f t="array" ref="N643">_xlfn.IFS(I643 = "Rob", "Robusta", I643 = "Exc", "Excelsa", I643 = "Ara", "Arabica", I643 = "Lib", "Liberica")</f>
        <v>Robusta</v>
      </c>
      <c r="O643" t="str">
        <f t="shared" ref="O643:O706" si="21">IF(J643 = "M", "Medium", IF(J643= "L", "Light",IF( J643 = "D", "Dark")))</f>
        <v>Light</v>
      </c>
      <c r="P643" t="str">
        <f>_xlfn.XLOOKUP(orders[[#This Row],[Customer ID]],customers!$A$1:$A$1001,customers!$I$1:$I$1001)</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 = 0, "", 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20"/>
        <v>8.25</v>
      </c>
      <c r="N644" t="str" cm="1">
        <f t="array" ref="N644">_xlfn.IFS(I644 = "Rob", "Robusta", I644 = "Exc", "Excelsa", I644 = "Ara", "Arabica", I644 = "Lib", "Liberica")</f>
        <v>Excelsa</v>
      </c>
      <c r="O644" t="str">
        <f t="shared" si="21"/>
        <v>Medium</v>
      </c>
      <c r="P644" t="str">
        <f>_xlfn.XLOOKUP(orders[[#This Row],[Customer ID]],customers!$A$1:$A$1001,customers!$I$1:$I$1001)</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 = 0, "", 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20"/>
        <v>102.46499999999997</v>
      </c>
      <c r="N645" t="str" cm="1">
        <f t="array" ref="N645">_xlfn.IFS(I645 = "Rob", "Robusta", I645 = "Exc", "Excelsa", I645 = "Ara", "Arabica", I645 = "Lib", "Liberica")</f>
        <v>Excelsa</v>
      </c>
      <c r="O645" t="str">
        <f t="shared" si="21"/>
        <v>Light</v>
      </c>
      <c r="P645" t="str">
        <f>_xlfn.XLOOKUP(orders[[#This Row],[Customer ID]],customers!$A$1:$A$1001,customers!$I$1:$I$1001)</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 = 0, "", 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20"/>
        <v>41.169999999999995</v>
      </c>
      <c r="N646" t="str" cm="1">
        <f t="array" ref="N646">_xlfn.IFS(I646 = "Rob", "Robusta", I646 = "Exc", "Excelsa", I646 = "Ara", "Arabica", I646 = "Lib", "Liberica")</f>
        <v>Robusta</v>
      </c>
      <c r="O646" t="str">
        <f t="shared" si="21"/>
        <v>Dark</v>
      </c>
      <c r="P646" t="str">
        <f>_xlfn.XLOOKUP(orders[[#This Row],[Customer ID]],customers!$A$1:$A$1001,customers!$I$1:$I$1001)</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 = 0, "", 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20"/>
        <v>68.655000000000001</v>
      </c>
      <c r="N647" t="str" cm="1">
        <f t="array" ref="N647">_xlfn.IFS(I647 = "Rob", "Robusta", I647 = "Exc", "Excelsa", I647 = "Ara", "Arabica", I647 = "Lib", "Liberica")</f>
        <v>Arabica</v>
      </c>
      <c r="O647" t="str">
        <f t="shared" si="21"/>
        <v>Dark</v>
      </c>
      <c r="P647" t="str">
        <f>_xlfn.XLOOKUP(orders[[#This Row],[Customer ID]],customers!$A$1:$A$1001,customers!$I$1:$I$1001)</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 = 0, "", 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20"/>
        <v>9.9499999999999993</v>
      </c>
      <c r="N648" t="str" cm="1">
        <f t="array" ref="N648">_xlfn.IFS(I648 = "Rob", "Robusta", I648 = "Exc", "Excelsa", I648 = "Ara", "Arabica", I648 = "Lib", "Liberica")</f>
        <v>Arabica</v>
      </c>
      <c r="O648" t="str">
        <f t="shared" si="21"/>
        <v>Dark</v>
      </c>
      <c r="P648" t="str">
        <f>_xlfn.XLOOKUP(orders[[#This Row],[Customer ID]],customers!$A$1:$A$1001,customers!$I$1:$I$1001)</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 = 0, "", 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20"/>
        <v>28.53</v>
      </c>
      <c r="N649" t="str" cm="1">
        <f t="array" ref="N649">_xlfn.IFS(I649 = "Rob", "Robusta", I649 = "Exc", "Excelsa", I649 = "Ara", "Arabica", I649 = "Lib", "Liberica")</f>
        <v>Liberica</v>
      </c>
      <c r="O649" t="str">
        <f t="shared" si="21"/>
        <v>Light</v>
      </c>
      <c r="P649" t="str">
        <f>_xlfn.XLOOKUP(orders[[#This Row],[Customer ID]],customers!$A$1:$A$1001,customers!$I$1:$I$1001)</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 = 0, "", 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20"/>
        <v>16.11</v>
      </c>
      <c r="N650" t="str" cm="1">
        <f t="array" ref="N650">_xlfn.IFS(I650 = "Rob", "Robusta", I650 = "Exc", "Excelsa", I650 = "Ara", "Arabica", I650 = "Lib", "Liberica")</f>
        <v>Robusta</v>
      </c>
      <c r="O650" t="str">
        <f t="shared" si="21"/>
        <v>Dark</v>
      </c>
      <c r="P650" t="str">
        <f>_xlfn.XLOOKUP(orders[[#This Row],[Customer ID]],customers!$A$1:$A$1001,customers!$I$1:$I$1001)</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 = 0, "", 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20"/>
        <v>95.1</v>
      </c>
      <c r="N651" t="str" cm="1">
        <f t="array" ref="N651">_xlfn.IFS(I651 = "Rob", "Robusta", I651 = "Exc", "Excelsa", I651 = "Ara", "Arabica", I651 = "Lib", "Liberica")</f>
        <v>Liberica</v>
      </c>
      <c r="O651" t="str">
        <f t="shared" si="21"/>
        <v>Light</v>
      </c>
      <c r="P651" t="str">
        <f>_xlfn.XLOOKUP(orders[[#This Row],[Customer ID]],customers!$A$1:$A$1001,customers!$I$1:$I$1001)</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 = 0, "", 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20"/>
        <v>5.3699999999999992</v>
      </c>
      <c r="N652" t="str" cm="1">
        <f t="array" ref="N652">_xlfn.IFS(I652 = "Rob", "Robusta", I652 = "Exc", "Excelsa", I652 = "Ara", "Arabica", I652 = "Lib", "Liberica")</f>
        <v>Robusta</v>
      </c>
      <c r="O652" t="str">
        <f t="shared" si="21"/>
        <v>Dark</v>
      </c>
      <c r="P652" t="str">
        <f>_xlfn.XLOOKUP(orders[[#This Row],[Customer ID]],customers!$A$1:$A$1001,customers!$I$1:$I$1001)</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 = 0, "", 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20"/>
        <v>47.8</v>
      </c>
      <c r="N653" t="str" cm="1">
        <f t="array" ref="N653">_xlfn.IFS(I653 = "Rob", "Robusta", I653 = "Exc", "Excelsa", I653 = "Ara", "Arabica", I653 = "Lib", "Liberica")</f>
        <v>Robusta</v>
      </c>
      <c r="O653" t="str">
        <f t="shared" si="21"/>
        <v>Light</v>
      </c>
      <c r="P653" t="str">
        <f>_xlfn.XLOOKUP(orders[[#This Row],[Customer ID]],customers!$A$1:$A$1001,customers!$I$1:$I$1001)</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 = 0, "", 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20"/>
        <v>63.4</v>
      </c>
      <c r="N654" t="str" cm="1">
        <f t="array" ref="N654">_xlfn.IFS(I654 = "Rob", "Robusta", I654 = "Exc", "Excelsa", I654 = "Ara", "Arabica", I654 = "Lib", "Liberica")</f>
        <v>Liberica</v>
      </c>
      <c r="O654" t="str">
        <f t="shared" si="21"/>
        <v>Light</v>
      </c>
      <c r="P654" t="str">
        <f>_xlfn.XLOOKUP(orders[[#This Row],[Customer ID]],customers!$A$1:$A$1001,customers!$I$1:$I$1001)</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 = 0, "", 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20"/>
        <v>103.49999999999999</v>
      </c>
      <c r="N655" t="str" cm="1">
        <f t="array" ref="N655">_xlfn.IFS(I655 = "Rob", "Robusta", I655 = "Exc", "Excelsa", I655 = "Ara", "Arabica", I655 = "Lib", "Liberica")</f>
        <v>Arabica</v>
      </c>
      <c r="O655" t="str">
        <f t="shared" si="21"/>
        <v>Medium</v>
      </c>
      <c r="P655" t="str">
        <f>_xlfn.XLOOKUP(orders[[#This Row],[Customer ID]],customers!$A$1:$A$1001,customers!$I$1:$I$1001)</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 = 0, "", 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20"/>
        <v>68.655000000000001</v>
      </c>
      <c r="N656" t="str" cm="1">
        <f t="array" ref="N656">_xlfn.IFS(I656 = "Rob", "Robusta", I656 = "Exc", "Excelsa", I656 = "Ara", "Arabica", I656 = "Lib", "Liberica")</f>
        <v>Arabica</v>
      </c>
      <c r="O656" t="str">
        <f t="shared" si="21"/>
        <v>Dark</v>
      </c>
      <c r="P656" t="str">
        <f>_xlfn.XLOOKUP(orders[[#This Row],[Customer ID]],customers!$A$1:$A$1001,customers!$I$1:$I$1001)</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 = 0, "", 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20"/>
        <v>45.769999999999996</v>
      </c>
      <c r="N657" t="str" cm="1">
        <f t="array" ref="N657">_xlfn.IFS(I657 = "Rob", "Robusta", I657 = "Exc", "Excelsa", I657 = "Ara", "Arabica", I657 = "Lib", "Liberica")</f>
        <v>Robusta</v>
      </c>
      <c r="O657" t="str">
        <f t="shared" si="21"/>
        <v>Medium</v>
      </c>
      <c r="P657" t="str">
        <f>_xlfn.XLOOKUP(orders[[#This Row],[Customer ID]],customers!$A$1:$A$1001,customers!$I$1:$I$1001)</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 = 0, "", 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20"/>
        <v>51.8</v>
      </c>
      <c r="N658" t="str" cm="1">
        <f t="array" ref="N658">_xlfn.IFS(I658 = "Rob", "Robusta", I658 = "Exc", "Excelsa", I658 = "Ara", "Arabica", I658 = "Lib", "Liberica")</f>
        <v>Liberica</v>
      </c>
      <c r="O658" t="str">
        <f t="shared" si="21"/>
        <v>Dark</v>
      </c>
      <c r="P658" t="str">
        <f>_xlfn.XLOOKUP(orders[[#This Row],[Customer ID]],customers!$A$1:$A$1001,customers!$I$1:$I$1001)</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 = 0, "", 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20"/>
        <v>13.5</v>
      </c>
      <c r="N659" t="str" cm="1">
        <f t="array" ref="N659">_xlfn.IFS(I659 = "Rob", "Robusta", I659 = "Exc", "Excelsa", I659 = "Ara", "Arabica", I659 = "Lib", "Liberica")</f>
        <v>Arabica</v>
      </c>
      <c r="O659" t="str">
        <f t="shared" si="21"/>
        <v>Medium</v>
      </c>
      <c r="P659" t="str">
        <f>_xlfn.XLOOKUP(orders[[#This Row],[Customer ID]],customers!$A$1:$A$1001,customers!$I$1:$I$1001)</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 = 0, "", 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20"/>
        <v>24.75</v>
      </c>
      <c r="N660" t="str" cm="1">
        <f t="array" ref="N660">_xlfn.IFS(I660 = "Rob", "Robusta", I660 = "Exc", "Excelsa", I660 = "Ara", "Arabica", I660 = "Lib", "Liberica")</f>
        <v>Excelsa</v>
      </c>
      <c r="O660" t="str">
        <f t="shared" si="21"/>
        <v>Medium</v>
      </c>
      <c r="P660" t="str">
        <f>_xlfn.XLOOKUP(orders[[#This Row],[Customer ID]],customers!$A$1:$A$1001,customers!$I$1:$I$1001)</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 = 0, "", 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20"/>
        <v>45.769999999999996</v>
      </c>
      <c r="N661" t="str" cm="1">
        <f t="array" ref="N661">_xlfn.IFS(I661 = "Rob", "Robusta", I661 = "Exc", "Excelsa", I661 = "Ara", "Arabica", I661 = "Lib", "Liberica")</f>
        <v>Arabica</v>
      </c>
      <c r="O661" t="str">
        <f t="shared" si="21"/>
        <v>Dark</v>
      </c>
      <c r="P661" t="str">
        <f>_xlfn.XLOOKUP(orders[[#This Row],[Customer ID]],customers!$A$1:$A$1001,customers!$I$1:$I$1001)</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 = 0, "", 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20"/>
        <v>53.46</v>
      </c>
      <c r="N662" t="str" cm="1">
        <f t="array" ref="N662">_xlfn.IFS(I662 = "Rob", "Robusta", I662 = "Exc", "Excelsa", I662 = "Ara", "Arabica", I662 = "Lib", "Liberica")</f>
        <v>Excelsa</v>
      </c>
      <c r="O662" t="str">
        <f t="shared" si="21"/>
        <v>Light</v>
      </c>
      <c r="P662" t="str">
        <f>_xlfn.XLOOKUP(orders[[#This Row],[Customer ID]],customers!$A$1:$A$1001,customers!$I$1:$I$1001)</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 = 0, "", 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20"/>
        <v>20.25</v>
      </c>
      <c r="N663" t="str" cm="1">
        <f t="array" ref="N663">_xlfn.IFS(I663 = "Rob", "Robusta", I663 = "Exc", "Excelsa", I663 = "Ara", "Arabica", I663 = "Lib", "Liberica")</f>
        <v>Arabica</v>
      </c>
      <c r="O663" t="str">
        <f t="shared" si="21"/>
        <v>Medium</v>
      </c>
      <c r="P663" t="str">
        <f>_xlfn.XLOOKUP(orders[[#This Row],[Customer ID]],customers!$A$1:$A$1001,customers!$I$1:$I$1001)</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 = 0, "", 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20"/>
        <v>148.92499999999998</v>
      </c>
      <c r="N664" t="str" cm="1">
        <f t="array" ref="N664">_xlfn.IFS(I664 = "Rob", "Robusta", I664 = "Exc", "Excelsa", I664 = "Ara", "Arabica", I664 = "Lib", "Liberica")</f>
        <v>Liberica</v>
      </c>
      <c r="O664" t="str">
        <f t="shared" si="21"/>
        <v>Dark</v>
      </c>
      <c r="P664" t="str">
        <f>_xlfn.XLOOKUP(orders[[#This Row],[Customer ID]],customers!$A$1:$A$1001,customers!$I$1:$I$1001)</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 = 0, "", 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20"/>
        <v>67.5</v>
      </c>
      <c r="N665" t="str" cm="1">
        <f t="array" ref="N665">_xlfn.IFS(I665 = "Rob", "Robusta", I665 = "Exc", "Excelsa", I665 = "Ara", "Arabica", I665 = "Lib", "Liberica")</f>
        <v>Arabica</v>
      </c>
      <c r="O665" t="str">
        <f t="shared" si="21"/>
        <v>Medium</v>
      </c>
      <c r="P665" t="str">
        <f>_xlfn.XLOOKUP(orders[[#This Row],[Customer ID]],customers!$A$1:$A$1001,customers!$I$1:$I$1001)</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 = 0, "", 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20"/>
        <v>72.900000000000006</v>
      </c>
      <c r="N666" t="str" cm="1">
        <f t="array" ref="N666">_xlfn.IFS(I666 = "Rob", "Robusta", I666 = "Exc", "Excelsa", I666 = "Ara", "Arabica", I666 = "Lib", "Liberica")</f>
        <v>Excelsa</v>
      </c>
      <c r="O666" t="str">
        <f t="shared" si="21"/>
        <v>Dark</v>
      </c>
      <c r="P666" t="str">
        <f>_xlfn.XLOOKUP(orders[[#This Row],[Customer ID]],customers!$A$1:$A$1001,customers!$I$1:$I$1001)</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 = 0, "", 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20"/>
        <v>7.77</v>
      </c>
      <c r="N667" t="str" cm="1">
        <f t="array" ref="N667">_xlfn.IFS(I667 = "Rob", "Robusta", I667 = "Exc", "Excelsa", I667 = "Ara", "Arabica", I667 = "Lib", "Liberica")</f>
        <v>Liberica</v>
      </c>
      <c r="O667" t="str">
        <f t="shared" si="21"/>
        <v>Dark</v>
      </c>
      <c r="P667" t="str">
        <f>_xlfn.XLOOKUP(orders[[#This Row],[Customer ID]],customers!$A$1:$A$1001,customers!$I$1:$I$1001)</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 = 0, "", 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20"/>
        <v>91.539999999999992</v>
      </c>
      <c r="N668" t="str" cm="1">
        <f t="array" ref="N668">_xlfn.IFS(I668 = "Rob", "Robusta", I668 = "Exc", "Excelsa", I668 = "Ara", "Arabica", I668 = "Lib", "Liberica")</f>
        <v>Arabica</v>
      </c>
      <c r="O668" t="str">
        <f t="shared" si="21"/>
        <v>Dark</v>
      </c>
      <c r="P668" t="str">
        <f>_xlfn.XLOOKUP(orders[[#This Row],[Customer ID]],customers!$A$1:$A$1001,customers!$I$1:$I$1001)</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 = 0, "", 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20"/>
        <v>59.699999999999996</v>
      </c>
      <c r="N669" t="str" cm="1">
        <f t="array" ref="N669">_xlfn.IFS(I669 = "Rob", "Robusta", I669 = "Exc", "Excelsa", I669 = "Ara", "Arabica", I669 = "Lib", "Liberica")</f>
        <v>Arabica</v>
      </c>
      <c r="O669" t="str">
        <f t="shared" si="21"/>
        <v>Dark</v>
      </c>
      <c r="P669" t="str">
        <f>_xlfn.XLOOKUP(orders[[#This Row],[Customer ID]],customers!$A$1:$A$1001,customers!$I$1:$I$1001)</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 = 0, "", 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20"/>
        <v>137.42499999999998</v>
      </c>
      <c r="N670" t="str" cm="1">
        <f t="array" ref="N670">_xlfn.IFS(I670 = "Rob", "Robusta", I670 = "Exc", "Excelsa", I670 = "Ara", "Arabica", I670 = "Lib", "Liberica")</f>
        <v>Robusta</v>
      </c>
      <c r="O670" t="str">
        <f t="shared" si="21"/>
        <v>Light</v>
      </c>
      <c r="P670" t="str">
        <f>_xlfn.XLOOKUP(orders[[#This Row],[Customer ID]],customers!$A$1:$A$1001,customers!$I$1:$I$1001)</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 = 0, "", 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20"/>
        <v>66.929999999999993</v>
      </c>
      <c r="N671" t="str" cm="1">
        <f t="array" ref="N671">_xlfn.IFS(I671 = "Rob", "Robusta", I671 = "Exc", "Excelsa", I671 = "Ara", "Arabica", I671 = "Lib", "Liberica")</f>
        <v>Liberica</v>
      </c>
      <c r="O671" t="str">
        <f t="shared" si="21"/>
        <v>Medium</v>
      </c>
      <c r="P671" t="str">
        <f>_xlfn.XLOOKUP(orders[[#This Row],[Customer ID]],customers!$A$1:$A$1001,customers!$I$1:$I$1001)</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 = 0, "", 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20"/>
        <v>13.095000000000001</v>
      </c>
      <c r="N672" t="str" cm="1">
        <f t="array" ref="N672">_xlfn.IFS(I672 = "Rob", "Robusta", I672 = "Exc", "Excelsa", I672 = "Ara", "Arabica", I672 = "Lib", "Liberica")</f>
        <v>Liberica</v>
      </c>
      <c r="O672" t="str">
        <f t="shared" si="21"/>
        <v>Medium</v>
      </c>
      <c r="P672" t="str">
        <f>_xlfn.XLOOKUP(orders[[#This Row],[Customer ID]],customers!$A$1:$A$1001,customers!$I$1:$I$1001)</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 = 0, "", 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20"/>
        <v>59.75</v>
      </c>
      <c r="N673" t="str" cm="1">
        <f t="array" ref="N673">_xlfn.IFS(I673 = "Rob", "Robusta", I673 = "Exc", "Excelsa", I673 = "Ara", "Arabica", I673 = "Lib", "Liberica")</f>
        <v>Robusta</v>
      </c>
      <c r="O673" t="str">
        <f t="shared" si="21"/>
        <v>Light</v>
      </c>
      <c r="P673" t="str">
        <f>_xlfn.XLOOKUP(orders[[#This Row],[Customer ID]],customers!$A$1:$A$1001,customers!$I$1:$I$1001)</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 = 0, "", 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20"/>
        <v>43.650000000000006</v>
      </c>
      <c r="N674" t="str" cm="1">
        <f t="array" ref="N674">_xlfn.IFS(I674 = "Rob", "Robusta", I674 = "Exc", "Excelsa", I674 = "Ara", "Arabica", I674 = "Lib", "Liberica")</f>
        <v>Liberica</v>
      </c>
      <c r="O674" t="str">
        <f t="shared" si="21"/>
        <v>Medium</v>
      </c>
      <c r="P674" t="str">
        <f>_xlfn.XLOOKUP(orders[[#This Row],[Customer ID]],customers!$A$1:$A$1001,customers!$I$1:$I$1001)</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 = 0, "", 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20"/>
        <v>82.5</v>
      </c>
      <c r="N675" t="str" cm="1">
        <f t="array" ref="N675">_xlfn.IFS(I675 = "Rob", "Robusta", I675 = "Exc", "Excelsa", I675 = "Ara", "Arabica", I675 = "Lib", "Liberica")</f>
        <v>Excelsa</v>
      </c>
      <c r="O675" t="str">
        <f t="shared" si="21"/>
        <v>Medium</v>
      </c>
      <c r="P675" t="str">
        <f>_xlfn.XLOOKUP(orders[[#This Row],[Customer ID]],customers!$A$1:$A$1001,customers!$I$1:$I$1001)</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 = 0, "", 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20"/>
        <v>178.70999999999998</v>
      </c>
      <c r="N676" t="str" cm="1">
        <f t="array" ref="N676">_xlfn.IFS(I676 = "Rob", "Robusta", I676 = "Exc", "Excelsa", I676 = "Ara", "Arabica", I676 = "Lib", "Liberica")</f>
        <v>Arabica</v>
      </c>
      <c r="O676" t="str">
        <f t="shared" si="21"/>
        <v>Light</v>
      </c>
      <c r="P676" t="str">
        <f>_xlfn.XLOOKUP(orders[[#This Row],[Customer ID]],customers!$A$1:$A$1001,customers!$I$1:$I$1001)</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 = 0, "", 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20"/>
        <v>119.13999999999999</v>
      </c>
      <c r="N677" t="str" cm="1">
        <f t="array" ref="N677">_xlfn.IFS(I677 = "Rob", "Robusta", I677 = "Exc", "Excelsa", I677 = "Ara", "Arabica", I677 = "Lib", "Liberica")</f>
        <v>Liberica</v>
      </c>
      <c r="O677" t="str">
        <f t="shared" si="21"/>
        <v>Dark</v>
      </c>
      <c r="P677" t="str">
        <f>_xlfn.XLOOKUP(orders[[#This Row],[Customer ID]],customers!$A$1:$A$1001,customers!$I$1:$I$1001)</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 = 0, "", 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20"/>
        <v>47.55</v>
      </c>
      <c r="N678" t="str" cm="1">
        <f t="array" ref="N678">_xlfn.IFS(I678 = "Rob", "Robusta", I678 = "Exc", "Excelsa", I678 = "Ara", "Arabica", I678 = "Lib", "Liberica")</f>
        <v>Liberica</v>
      </c>
      <c r="O678" t="str">
        <f t="shared" si="21"/>
        <v>Light</v>
      </c>
      <c r="P678" t="str">
        <f>_xlfn.XLOOKUP(orders[[#This Row],[Customer ID]],customers!$A$1:$A$1001,customers!$I$1:$I$1001)</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 = 0, "", 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20"/>
        <v>43.650000000000006</v>
      </c>
      <c r="N679" t="str" cm="1">
        <f t="array" ref="N679">_xlfn.IFS(I679 = "Rob", "Robusta", I679 = "Exc", "Excelsa", I679 = "Ara", "Arabica", I679 = "Lib", "Liberica")</f>
        <v>Liberica</v>
      </c>
      <c r="O679" t="str">
        <f t="shared" si="21"/>
        <v>Medium</v>
      </c>
      <c r="P679" t="str">
        <f>_xlfn.XLOOKUP(orders[[#This Row],[Customer ID]],customers!$A$1:$A$1001,customers!$I$1:$I$1001)</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 = 0, "", 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20"/>
        <v>178.70999999999998</v>
      </c>
      <c r="N680" t="str" cm="1">
        <f t="array" ref="N680">_xlfn.IFS(I680 = "Rob", "Robusta", I680 = "Exc", "Excelsa", I680 = "Ara", "Arabica", I680 = "Lib", "Liberica")</f>
        <v>Arabica</v>
      </c>
      <c r="O680" t="str">
        <f t="shared" si="21"/>
        <v>Light</v>
      </c>
      <c r="P680" t="str">
        <f>_xlfn.XLOOKUP(orders[[#This Row],[Customer ID]],customers!$A$1:$A$1001,customers!$I$1:$I$1001)</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 = 0, "", 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20"/>
        <v>27.484999999999996</v>
      </c>
      <c r="N681" t="str" cm="1">
        <f t="array" ref="N681">_xlfn.IFS(I681 = "Rob", "Robusta", I681 = "Exc", "Excelsa", I681 = "Ara", "Arabica", I681 = "Lib", "Liberica")</f>
        <v>Robusta</v>
      </c>
      <c r="O681" t="str">
        <f t="shared" si="21"/>
        <v>Light</v>
      </c>
      <c r="P681" t="str">
        <f>_xlfn.XLOOKUP(orders[[#This Row],[Customer ID]],customers!$A$1:$A$1001,customers!$I$1:$I$1001)</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 = 0, "", 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20"/>
        <v>56.25</v>
      </c>
      <c r="N682" t="str" cm="1">
        <f t="array" ref="N682">_xlfn.IFS(I682 = "Rob", "Robusta", I682 = "Exc", "Excelsa", I682 = "Ara", "Arabica", I682 = "Lib", "Liberica")</f>
        <v>Arabica</v>
      </c>
      <c r="O682" t="str">
        <f t="shared" si="21"/>
        <v>Medium</v>
      </c>
      <c r="P682" t="str">
        <f>_xlfn.XLOOKUP(orders[[#This Row],[Customer ID]],customers!$A$1:$A$1001,customers!$I$1:$I$1001)</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 = 0, "", 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20"/>
        <v>9.51</v>
      </c>
      <c r="N683" t="str" cm="1">
        <f t="array" ref="N683">_xlfn.IFS(I683 = "Rob", "Robusta", I683 = "Exc", "Excelsa", I683 = "Ara", "Arabica", I683 = "Lib", "Liberica")</f>
        <v>Liberica</v>
      </c>
      <c r="O683" t="str">
        <f t="shared" si="21"/>
        <v>Light</v>
      </c>
      <c r="P683" t="str">
        <f>_xlfn.XLOOKUP(orders[[#This Row],[Customer ID]],customers!$A$1:$A$1001,customers!$I$1:$I$1001)</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 = 0, "", 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20"/>
        <v>8.25</v>
      </c>
      <c r="N684" t="str" cm="1">
        <f t="array" ref="N684">_xlfn.IFS(I684 = "Rob", "Robusta", I684 = "Exc", "Excelsa", I684 = "Ara", "Arabica", I684 = "Lib", "Liberica")</f>
        <v>Excelsa</v>
      </c>
      <c r="O684" t="str">
        <f t="shared" si="21"/>
        <v>Medium</v>
      </c>
      <c r="P684" t="str">
        <f>_xlfn.XLOOKUP(orders[[#This Row],[Customer ID]],customers!$A$1:$A$1001,customers!$I$1:$I$1001)</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 = 0, "", 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20"/>
        <v>46.62</v>
      </c>
      <c r="N685" t="str" cm="1">
        <f t="array" ref="N685">_xlfn.IFS(I685 = "Rob", "Robusta", I685 = "Exc", "Excelsa", I685 = "Ara", "Arabica", I685 = "Lib", "Liberica")</f>
        <v>Liberica</v>
      </c>
      <c r="O685" t="str">
        <f t="shared" si="21"/>
        <v>Dark</v>
      </c>
      <c r="P685" t="str">
        <f>_xlfn.XLOOKUP(orders[[#This Row],[Customer ID]],customers!$A$1:$A$1001,customers!$I$1:$I$1001)</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 = 0, "", 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20"/>
        <v>71.699999999999989</v>
      </c>
      <c r="N686" t="str" cm="1">
        <f t="array" ref="N686">_xlfn.IFS(I686 = "Rob", "Robusta", I686 = "Exc", "Excelsa", I686 = "Ara", "Arabica", I686 = "Lib", "Liberica")</f>
        <v>Robusta</v>
      </c>
      <c r="O686" t="str">
        <f t="shared" si="21"/>
        <v>Light</v>
      </c>
      <c r="P686" t="str">
        <f>_xlfn.XLOOKUP(orders[[#This Row],[Customer ID]],customers!$A$1:$A$1001,customers!$I$1:$I$1001)</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 = 0, "", 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20"/>
        <v>72.91</v>
      </c>
      <c r="N687" t="str" cm="1">
        <f t="array" ref="N687">_xlfn.IFS(I687 = "Rob", "Robusta", I687 = "Exc", "Excelsa", I687 = "Ara", "Arabica", I687 = "Lib", "Liberica")</f>
        <v>Liberica</v>
      </c>
      <c r="O687" t="str">
        <f t="shared" si="21"/>
        <v>Light</v>
      </c>
      <c r="P687" t="str">
        <f>_xlfn.XLOOKUP(orders[[#This Row],[Customer ID]],customers!$A$1:$A$1001,customers!$I$1:$I$1001)</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 = 0, "", 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20"/>
        <v>8.0549999999999997</v>
      </c>
      <c r="N688" t="str" cm="1">
        <f t="array" ref="N688">_xlfn.IFS(I688 = "Rob", "Robusta", I688 = "Exc", "Excelsa", I688 = "Ara", "Arabica", I688 = "Lib", "Liberica")</f>
        <v>Robusta</v>
      </c>
      <c r="O688" t="str">
        <f t="shared" si="21"/>
        <v>Dark</v>
      </c>
      <c r="P688" t="str">
        <f>_xlfn.XLOOKUP(orders[[#This Row],[Customer ID]],customers!$A$1:$A$1001,customers!$I$1:$I$1001)</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 = 0, "", 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20"/>
        <v>16.5</v>
      </c>
      <c r="N689" t="str" cm="1">
        <f t="array" ref="N689">_xlfn.IFS(I689 = "Rob", "Robusta", I689 = "Exc", "Excelsa", I689 = "Ara", "Arabica", I689 = "Lib", "Liberica")</f>
        <v>Excelsa</v>
      </c>
      <c r="O689" t="str">
        <f t="shared" si="21"/>
        <v>Medium</v>
      </c>
      <c r="P689" t="str">
        <f>_xlfn.XLOOKUP(orders[[#This Row],[Customer ID]],customers!$A$1:$A$1001,customers!$I$1:$I$1001)</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 = 0, "", 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20"/>
        <v>64.75</v>
      </c>
      <c r="N690" t="str" cm="1">
        <f t="array" ref="N690">_xlfn.IFS(I690 = "Rob", "Robusta", I690 = "Exc", "Excelsa", I690 = "Ara", "Arabica", I690 = "Lib", "Liberica")</f>
        <v>Arabica</v>
      </c>
      <c r="O690" t="str">
        <f t="shared" si="21"/>
        <v>Light</v>
      </c>
      <c r="P690" t="str">
        <f>_xlfn.XLOOKUP(orders[[#This Row],[Customer ID]],customers!$A$1:$A$1001,customers!$I$1:$I$1001)</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 = 0, "", 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20"/>
        <v>33.75</v>
      </c>
      <c r="N691" t="str" cm="1">
        <f t="array" ref="N691">_xlfn.IFS(I691 = "Rob", "Robusta", I691 = "Exc", "Excelsa", I691 = "Ara", "Arabica", I691 = "Lib", "Liberica")</f>
        <v>Arabica</v>
      </c>
      <c r="O691" t="str">
        <f t="shared" si="21"/>
        <v>Medium</v>
      </c>
      <c r="P691" t="str">
        <f>_xlfn.XLOOKUP(orders[[#This Row],[Customer ID]],customers!$A$1:$A$1001,customers!$I$1:$I$1001)</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 = 0, "", 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20"/>
        <v>178.70999999999998</v>
      </c>
      <c r="N692" t="str" cm="1">
        <f t="array" ref="N692">_xlfn.IFS(I692 = "Rob", "Robusta", I692 = "Exc", "Excelsa", I692 = "Ara", "Arabica", I692 = "Lib", "Liberica")</f>
        <v>Liberica</v>
      </c>
      <c r="O692" t="str">
        <f t="shared" si="21"/>
        <v>Dark</v>
      </c>
      <c r="P692" t="str">
        <f>_xlfn.XLOOKUP(orders[[#This Row],[Customer ID]],customers!$A$1:$A$1001,customers!$I$1:$I$1001)</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 = 0, "", 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20"/>
        <v>22.5</v>
      </c>
      <c r="N693" t="str" cm="1">
        <f t="array" ref="N693">_xlfn.IFS(I693 = "Rob", "Robusta", I693 = "Exc", "Excelsa", I693 = "Ara", "Arabica", I693 = "Lib", "Liberica")</f>
        <v>Arabica</v>
      </c>
      <c r="O693" t="str">
        <f t="shared" si="21"/>
        <v>Medium</v>
      </c>
      <c r="P693" t="str">
        <f>_xlfn.XLOOKUP(orders[[#This Row],[Customer ID]],customers!$A$1:$A$1001,customers!$I$1:$I$1001)</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 = 0, "", 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20"/>
        <v>12.95</v>
      </c>
      <c r="N694" t="str" cm="1">
        <f t="array" ref="N694">_xlfn.IFS(I694 = "Rob", "Robusta", I694 = "Exc", "Excelsa", I694 = "Ara", "Arabica", I694 = "Lib", "Liberica")</f>
        <v>Liberica</v>
      </c>
      <c r="O694" t="str">
        <f t="shared" si="21"/>
        <v>Dark</v>
      </c>
      <c r="P694" t="str">
        <f>_xlfn.XLOOKUP(orders[[#This Row],[Customer ID]],customers!$A$1:$A$1001,customers!$I$1:$I$1001)</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 = 0, "", 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20"/>
        <v>51.749999999999993</v>
      </c>
      <c r="N695" t="str" cm="1">
        <f t="array" ref="N695">_xlfn.IFS(I695 = "Rob", "Robusta", I695 = "Exc", "Excelsa", I695 = "Ara", "Arabica", I695 = "Lib", "Liberica")</f>
        <v>Arabica</v>
      </c>
      <c r="O695" t="str">
        <f t="shared" si="21"/>
        <v>Medium</v>
      </c>
      <c r="P695" t="str">
        <f>_xlfn.XLOOKUP(orders[[#This Row],[Customer ID]],customers!$A$1:$A$1001,customers!$I$1:$I$1001)</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 = 0, "", 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20"/>
        <v>36.450000000000003</v>
      </c>
      <c r="N696" t="str" cm="1">
        <f t="array" ref="N696">_xlfn.IFS(I696 = "Rob", "Robusta", I696 = "Exc", "Excelsa", I696 = "Ara", "Arabica", I696 = "Lib", "Liberica")</f>
        <v>Excelsa</v>
      </c>
      <c r="O696" t="str">
        <f t="shared" si="21"/>
        <v>Dark</v>
      </c>
      <c r="P696" t="str">
        <f>_xlfn.XLOOKUP(orders[[#This Row],[Customer ID]],customers!$A$1:$A$1001,customers!$I$1:$I$1001)</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 = 0, "", 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20"/>
        <v>182.27499999999998</v>
      </c>
      <c r="N697" t="str" cm="1">
        <f t="array" ref="N697">_xlfn.IFS(I697 = "Rob", "Robusta", I697 = "Exc", "Excelsa", I697 = "Ara", "Arabica", I697 = "Lib", "Liberica")</f>
        <v>Liberica</v>
      </c>
      <c r="O697" t="str">
        <f t="shared" si="21"/>
        <v>Light</v>
      </c>
      <c r="P697" t="str">
        <f>_xlfn.XLOOKUP(orders[[#This Row],[Customer ID]],customers!$A$1:$A$1001,customers!$I$1:$I$1001)</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 = 0, "", 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20"/>
        <v>31.08</v>
      </c>
      <c r="N698" t="str" cm="1">
        <f t="array" ref="N698">_xlfn.IFS(I698 = "Rob", "Robusta", I698 = "Exc", "Excelsa", I698 = "Ara", "Arabica", I698 = "Lib", "Liberica")</f>
        <v>Liberica</v>
      </c>
      <c r="O698" t="str">
        <f t="shared" si="21"/>
        <v>Dark</v>
      </c>
      <c r="P698" t="str">
        <f>_xlfn.XLOOKUP(orders[[#This Row],[Customer ID]],customers!$A$1:$A$1001,customers!$I$1:$I$1001)</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 = 0, "", 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20"/>
        <v>20.25</v>
      </c>
      <c r="N699" t="str" cm="1">
        <f t="array" ref="N699">_xlfn.IFS(I699 = "Rob", "Robusta", I699 = "Exc", "Excelsa", I699 = "Ara", "Arabica", I699 = "Lib", "Liberica")</f>
        <v>Arabica</v>
      </c>
      <c r="O699" t="str">
        <f t="shared" si="21"/>
        <v>Medium</v>
      </c>
      <c r="P699" t="str">
        <f>_xlfn.XLOOKUP(orders[[#This Row],[Customer ID]],customers!$A$1:$A$1001,customers!$I$1:$I$1001)</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 = 0, "", 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20"/>
        <v>25.9</v>
      </c>
      <c r="N700" t="str" cm="1">
        <f t="array" ref="N700">_xlfn.IFS(I700 = "Rob", "Robusta", I700 = "Exc", "Excelsa", I700 = "Ara", "Arabica", I700 = "Lib", "Liberica")</f>
        <v>Liberica</v>
      </c>
      <c r="O700" t="str">
        <f t="shared" si="21"/>
        <v>Dark</v>
      </c>
      <c r="P700" t="str">
        <f>_xlfn.XLOOKUP(orders[[#This Row],[Customer ID]],customers!$A$1:$A$1001,customers!$I$1:$I$1001)</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 = 0, "", 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20"/>
        <v>23.88</v>
      </c>
      <c r="N701" t="str" cm="1">
        <f t="array" ref="N701">_xlfn.IFS(I701 = "Rob", "Robusta", I701 = "Exc", "Excelsa", I701 = "Ara", "Arabica", I701 = "Lib", "Liberica")</f>
        <v>Arabica</v>
      </c>
      <c r="O701" t="str">
        <f t="shared" si="21"/>
        <v>Dark</v>
      </c>
      <c r="P701" t="str">
        <f>_xlfn.XLOOKUP(orders[[#This Row],[Customer ID]],customers!$A$1:$A$1001,customers!$I$1:$I$1001)</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 = 0, "", 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20"/>
        <v>19.02</v>
      </c>
      <c r="N702" t="str" cm="1">
        <f t="array" ref="N702">_xlfn.IFS(I702 = "Rob", "Robusta", I702 = "Exc", "Excelsa", I702 = "Ara", "Arabica", I702 = "Lib", "Liberica")</f>
        <v>Liberica</v>
      </c>
      <c r="O702" t="str">
        <f t="shared" si="21"/>
        <v>Light</v>
      </c>
      <c r="P702" t="str">
        <f>_xlfn.XLOOKUP(orders[[#This Row],[Customer ID]],customers!$A$1:$A$1001,customers!$I$1:$I$1001)</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 = 0, "", 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20"/>
        <v>29.849999999999998</v>
      </c>
      <c r="N703" t="str" cm="1">
        <f t="array" ref="N703">_xlfn.IFS(I703 = "Rob", "Robusta", I703 = "Exc", "Excelsa", I703 = "Ara", "Arabica", I703 = "Lib", "Liberica")</f>
        <v>Arabica</v>
      </c>
      <c r="O703" t="str">
        <f t="shared" si="21"/>
        <v>Dark</v>
      </c>
      <c r="P703" t="str">
        <f>_xlfn.XLOOKUP(orders[[#This Row],[Customer ID]],customers!$A$1:$A$1001,customers!$I$1:$I$1001)</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 = 0, "", 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20"/>
        <v>7.77</v>
      </c>
      <c r="N704" t="str" cm="1">
        <f t="array" ref="N704">_xlfn.IFS(I704 = "Rob", "Robusta", I704 = "Exc", "Excelsa", I704 = "Ara", "Arabica", I704 = "Lib", "Liberica")</f>
        <v>Arabica</v>
      </c>
      <c r="O704" t="str">
        <f t="shared" si="21"/>
        <v>Light</v>
      </c>
      <c r="P704" t="str">
        <f>_xlfn.XLOOKUP(orders[[#This Row],[Customer ID]],customers!$A$1:$A$1001,customers!$I$1:$I$1001)</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 = 0, "", 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20"/>
        <v>119.13999999999999</v>
      </c>
      <c r="N705" t="str" cm="1">
        <f t="array" ref="N705">_xlfn.IFS(I705 = "Rob", "Robusta", I705 = "Exc", "Excelsa", I705 = "Ara", "Arabica", I705 = "Lib", "Liberica")</f>
        <v>Liberica</v>
      </c>
      <c r="O705" t="str">
        <f t="shared" si="21"/>
        <v>Dark</v>
      </c>
      <c r="P705" t="str">
        <f>_xlfn.XLOOKUP(orders[[#This Row],[Customer ID]],customers!$A$1:$A$1001,customers!$I$1:$I$1001)</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 = 0, "", 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20"/>
        <v>21.87</v>
      </c>
      <c r="N706" t="str" cm="1">
        <f t="array" ref="N706">_xlfn.IFS(I706 = "Rob", "Robusta", I706 = "Exc", "Excelsa", I706 = "Ara", "Arabica", I706 = "Lib", "Liberica")</f>
        <v>Excelsa</v>
      </c>
      <c r="O706" t="str">
        <f t="shared" si="21"/>
        <v>Dark</v>
      </c>
      <c r="P706" t="str">
        <f>_xlfn.XLOOKUP(orders[[#This Row],[Customer ID]],customers!$A$1:$A$1001,customers!$I$1:$I$1001)</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 = 0, "", 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22">SUM(L707*E707)</f>
        <v>17.82</v>
      </c>
      <c r="N707" t="str" cm="1">
        <f t="array" ref="N707">_xlfn.IFS(I707 = "Rob", "Robusta", I707 = "Exc", "Excelsa", I707 = "Ara", "Arabica", I707 = "Lib", "Liberica")</f>
        <v>Excelsa</v>
      </c>
      <c r="O707" t="str">
        <f t="shared" ref="O707:O770" si="23">IF(J707 = "M", "Medium", IF(J707= "L", "Light",IF( J707 = "D", "Dark")))</f>
        <v>Light</v>
      </c>
      <c r="P707" t="str">
        <f>_xlfn.XLOOKUP(orders[[#This Row],[Customer ID]],customers!$A$1:$A$1001,customers!$I$1:$I$1001)</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 = 0, "", 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22"/>
        <v>12.375</v>
      </c>
      <c r="N708" t="str" cm="1">
        <f t="array" ref="N708">_xlfn.IFS(I708 = "Rob", "Robusta", I708 = "Exc", "Excelsa", I708 = "Ara", "Arabica", I708 = "Lib", "Liberica")</f>
        <v>Excelsa</v>
      </c>
      <c r="O708" t="str">
        <f t="shared" si="23"/>
        <v>Medium</v>
      </c>
      <c r="P708" t="str">
        <f>_xlfn.XLOOKUP(orders[[#This Row],[Customer ID]],customers!$A$1:$A$1001,customers!$I$1:$I$1001)</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 = 0, "", 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22"/>
        <v>25.9</v>
      </c>
      <c r="N709" t="str" cm="1">
        <f t="array" ref="N709">_xlfn.IFS(I709 = "Rob", "Robusta", I709 = "Exc", "Excelsa", I709 = "Ara", "Arabica", I709 = "Lib", "Liberica")</f>
        <v>Liberica</v>
      </c>
      <c r="O709" t="str">
        <f t="shared" si="23"/>
        <v>Dark</v>
      </c>
      <c r="P709" t="str">
        <f>_xlfn.XLOOKUP(orders[[#This Row],[Customer ID]],customers!$A$1:$A$1001,customers!$I$1:$I$1001)</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 = 0, "", 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22"/>
        <v>13.5</v>
      </c>
      <c r="N710" t="str" cm="1">
        <f t="array" ref="N710">_xlfn.IFS(I710 = "Rob", "Robusta", I710 = "Exc", "Excelsa", I710 = "Ara", "Arabica", I710 = "Lib", "Liberica")</f>
        <v>Arabica</v>
      </c>
      <c r="O710" t="str">
        <f t="shared" si="23"/>
        <v>Medium</v>
      </c>
      <c r="P710" t="str">
        <f>_xlfn.XLOOKUP(orders[[#This Row],[Customer ID]],customers!$A$1:$A$1001,customers!$I$1:$I$1001)</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 = 0, "", 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22"/>
        <v>17.82</v>
      </c>
      <c r="N711" t="str" cm="1">
        <f t="array" ref="N711">_xlfn.IFS(I711 = "Rob", "Robusta", I711 = "Exc", "Excelsa", I711 = "Ara", "Arabica", I711 = "Lib", "Liberica")</f>
        <v>Excelsa</v>
      </c>
      <c r="O711" t="str">
        <f t="shared" si="23"/>
        <v>Light</v>
      </c>
      <c r="P711" t="str">
        <f>_xlfn.XLOOKUP(orders[[#This Row],[Customer ID]],customers!$A$1:$A$1001,customers!$I$1:$I$1001)</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 = 0, "", 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22"/>
        <v>24.75</v>
      </c>
      <c r="N712" t="str" cm="1">
        <f t="array" ref="N712">_xlfn.IFS(I712 = "Rob", "Robusta", I712 = "Exc", "Excelsa", I712 = "Ara", "Arabica", I712 = "Lib", "Liberica")</f>
        <v>Excelsa</v>
      </c>
      <c r="O712" t="str">
        <f t="shared" si="23"/>
        <v>Medium</v>
      </c>
      <c r="P712" t="str">
        <f>_xlfn.XLOOKUP(orders[[#This Row],[Customer ID]],customers!$A$1:$A$1001,customers!$I$1:$I$1001)</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 = 0, "", 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22"/>
        <v>17.91</v>
      </c>
      <c r="N713" t="str" cm="1">
        <f t="array" ref="N713">_xlfn.IFS(I713 = "Rob", "Robusta", I713 = "Exc", "Excelsa", I713 = "Ara", "Arabica", I713 = "Lib", "Liberica")</f>
        <v>Robusta</v>
      </c>
      <c r="O713" t="str">
        <f t="shared" si="23"/>
        <v>Medium</v>
      </c>
      <c r="P713" t="str">
        <f>_xlfn.XLOOKUP(orders[[#This Row],[Customer ID]],customers!$A$1:$A$1001,customers!$I$1:$I$1001)</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 = 0, "", 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22"/>
        <v>16.5</v>
      </c>
      <c r="N714" t="str" cm="1">
        <f t="array" ref="N714">_xlfn.IFS(I714 = "Rob", "Robusta", I714 = "Exc", "Excelsa", I714 = "Ara", "Arabica", I714 = "Lib", "Liberica")</f>
        <v>Excelsa</v>
      </c>
      <c r="O714" t="str">
        <f t="shared" si="23"/>
        <v>Medium</v>
      </c>
      <c r="P714" t="str">
        <f>_xlfn.XLOOKUP(orders[[#This Row],[Customer ID]],customers!$A$1:$A$1001,customers!$I$1:$I$1001)</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 = 0, "", 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22"/>
        <v>2.9849999999999999</v>
      </c>
      <c r="N715" t="str" cm="1">
        <f t="array" ref="N715">_xlfn.IFS(I715 = "Rob", "Robusta", I715 = "Exc", "Excelsa", I715 = "Ara", "Arabica", I715 = "Lib", "Liberica")</f>
        <v>Robusta</v>
      </c>
      <c r="O715" t="str">
        <f t="shared" si="23"/>
        <v>Medium</v>
      </c>
      <c r="P715" t="str">
        <f>_xlfn.XLOOKUP(orders[[#This Row],[Customer ID]],customers!$A$1:$A$1001,customers!$I$1:$I$1001)</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 = 0, "", 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22"/>
        <v>14.58</v>
      </c>
      <c r="N716" t="str" cm="1">
        <f t="array" ref="N716">_xlfn.IFS(I716 = "Rob", "Robusta", I716 = "Exc", "Excelsa", I716 = "Ara", "Arabica", I716 = "Lib", "Liberica")</f>
        <v>Excelsa</v>
      </c>
      <c r="O716" t="str">
        <f t="shared" si="23"/>
        <v>Dark</v>
      </c>
      <c r="P716" t="str">
        <f>_xlfn.XLOOKUP(orders[[#This Row],[Customer ID]],customers!$A$1:$A$1001,customers!$I$1:$I$1001)</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 = 0, "", 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22"/>
        <v>89.1</v>
      </c>
      <c r="N717" t="str" cm="1">
        <f t="array" ref="N717">_xlfn.IFS(I717 = "Rob", "Robusta", I717 = "Exc", "Excelsa", I717 = "Ara", "Arabica", I717 = "Lib", "Liberica")</f>
        <v>Excelsa</v>
      </c>
      <c r="O717" t="str">
        <f t="shared" si="23"/>
        <v>Light</v>
      </c>
      <c r="P717" t="str">
        <f>_xlfn.XLOOKUP(orders[[#This Row],[Customer ID]],customers!$A$1:$A$1001,customers!$I$1:$I$1001)</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 = 0, "", 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22"/>
        <v>35.849999999999994</v>
      </c>
      <c r="N718" t="str" cm="1">
        <f t="array" ref="N718">_xlfn.IFS(I718 = "Rob", "Robusta", I718 = "Exc", "Excelsa", I718 = "Ara", "Arabica", I718 = "Lib", "Liberica")</f>
        <v>Robusta</v>
      </c>
      <c r="O718" t="str">
        <f t="shared" si="23"/>
        <v>Light</v>
      </c>
      <c r="P718" t="str">
        <f>_xlfn.XLOOKUP(orders[[#This Row],[Customer ID]],customers!$A$1:$A$1001,customers!$I$1:$I$1001)</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 = 0, "", 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22"/>
        <v>68.655000000000001</v>
      </c>
      <c r="N719" t="str" cm="1">
        <f t="array" ref="N719">_xlfn.IFS(I719 = "Rob", "Robusta", I719 = "Exc", "Excelsa", I719 = "Ara", "Arabica", I719 = "Lib", "Liberica")</f>
        <v>Arabica</v>
      </c>
      <c r="O719" t="str">
        <f t="shared" si="23"/>
        <v>Dark</v>
      </c>
      <c r="P719" t="str">
        <f>_xlfn.XLOOKUP(orders[[#This Row],[Customer ID]],customers!$A$1:$A$1001,customers!$I$1:$I$1001)</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 = 0, "", 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22"/>
        <v>38.849999999999994</v>
      </c>
      <c r="N720" t="str" cm="1">
        <f t="array" ref="N720">_xlfn.IFS(I720 = "Rob", "Robusta", I720 = "Exc", "Excelsa", I720 = "Ara", "Arabica", I720 = "Lib", "Liberica")</f>
        <v>Liberica</v>
      </c>
      <c r="O720" t="str">
        <f t="shared" si="23"/>
        <v>Dark</v>
      </c>
      <c r="P720" t="str">
        <f>_xlfn.XLOOKUP(orders[[#This Row],[Customer ID]],customers!$A$1:$A$1001,customers!$I$1:$I$1001)</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 = 0, "", 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22"/>
        <v>79.25</v>
      </c>
      <c r="N721" t="str" cm="1">
        <f t="array" ref="N721">_xlfn.IFS(I721 = "Rob", "Robusta", I721 = "Exc", "Excelsa", I721 = "Ara", "Arabica", I721 = "Lib", "Liberica")</f>
        <v>Liberica</v>
      </c>
      <c r="O721" t="str">
        <f t="shared" si="23"/>
        <v>Light</v>
      </c>
      <c r="P721" t="str">
        <f>_xlfn.XLOOKUP(orders[[#This Row],[Customer ID]],customers!$A$1:$A$1001,customers!$I$1:$I$1001)</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 = 0, "", 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22"/>
        <v>36.450000000000003</v>
      </c>
      <c r="N722" t="str" cm="1">
        <f t="array" ref="N722">_xlfn.IFS(I722 = "Rob", "Robusta", I722 = "Exc", "Excelsa", I722 = "Ara", "Arabica", I722 = "Lib", "Liberica")</f>
        <v>Excelsa</v>
      </c>
      <c r="O722" t="str">
        <f t="shared" si="23"/>
        <v>Dark</v>
      </c>
      <c r="P722" t="str">
        <f>_xlfn.XLOOKUP(orders[[#This Row],[Customer ID]],customers!$A$1:$A$1001,customers!$I$1:$I$1001)</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 = 0, "", 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22"/>
        <v>8.9550000000000001</v>
      </c>
      <c r="N723" t="str" cm="1">
        <f t="array" ref="N723">_xlfn.IFS(I723 = "Rob", "Robusta", I723 = "Exc", "Excelsa", I723 = "Ara", "Arabica", I723 = "Lib", "Liberica")</f>
        <v>Robusta</v>
      </c>
      <c r="O723" t="str">
        <f t="shared" si="23"/>
        <v>Medium</v>
      </c>
      <c r="P723" t="str">
        <f>_xlfn.XLOOKUP(orders[[#This Row],[Customer ID]],customers!$A$1:$A$1001,customers!$I$1:$I$1001)</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 = 0, "", 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22"/>
        <v>24.3</v>
      </c>
      <c r="N724" t="str" cm="1">
        <f t="array" ref="N724">_xlfn.IFS(I724 = "Rob", "Robusta", I724 = "Exc", "Excelsa", I724 = "Ara", "Arabica", I724 = "Lib", "Liberica")</f>
        <v>Excelsa</v>
      </c>
      <c r="O724" t="str">
        <f t="shared" si="23"/>
        <v>Dark</v>
      </c>
      <c r="P724" t="str">
        <f>_xlfn.XLOOKUP(orders[[#This Row],[Customer ID]],customers!$A$1:$A$1001,customers!$I$1:$I$1001)</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 = 0, "", 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22"/>
        <v>63.249999999999993</v>
      </c>
      <c r="N725" t="str" cm="1">
        <f t="array" ref="N725">_xlfn.IFS(I725 = "Rob", "Robusta", I725 = "Exc", "Excelsa", I725 = "Ara", "Arabica", I725 = "Lib", "Liberica")</f>
        <v>Excelsa</v>
      </c>
      <c r="O725" t="str">
        <f t="shared" si="23"/>
        <v>Medium</v>
      </c>
      <c r="P725" t="str">
        <f>_xlfn.XLOOKUP(orders[[#This Row],[Customer ID]],customers!$A$1:$A$1001,customers!$I$1:$I$1001)</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 = 0, "", 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22"/>
        <v>6.75</v>
      </c>
      <c r="N726" t="str" cm="1">
        <f t="array" ref="N726">_xlfn.IFS(I726 = "Rob", "Robusta", I726 = "Exc", "Excelsa", I726 = "Ara", "Arabica", I726 = "Lib", "Liberica")</f>
        <v>Arabica</v>
      </c>
      <c r="O726" t="str">
        <f t="shared" si="23"/>
        <v>Medium</v>
      </c>
      <c r="P726" t="str">
        <f>_xlfn.XLOOKUP(orders[[#This Row],[Customer ID]],customers!$A$1:$A$1001,customers!$I$1:$I$1001)</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 = 0, "", 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22"/>
        <v>23.31</v>
      </c>
      <c r="N727" t="str" cm="1">
        <f t="array" ref="N727">_xlfn.IFS(I727 = "Rob", "Robusta", I727 = "Exc", "Excelsa", I727 = "Ara", "Arabica", I727 = "Lib", "Liberica")</f>
        <v>Arabica</v>
      </c>
      <c r="O727" t="str">
        <f t="shared" si="23"/>
        <v>Light</v>
      </c>
      <c r="P727" t="str">
        <f>_xlfn.XLOOKUP(orders[[#This Row],[Customer ID]],customers!$A$1:$A$1001,customers!$I$1:$I$1001)</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 = 0, "", 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22"/>
        <v>145.82</v>
      </c>
      <c r="N728" t="str" cm="1">
        <f t="array" ref="N728">_xlfn.IFS(I728 = "Rob", "Robusta", I728 = "Exc", "Excelsa", I728 = "Ara", "Arabica", I728 = "Lib", "Liberica")</f>
        <v>Liberica</v>
      </c>
      <c r="O728" t="str">
        <f t="shared" si="23"/>
        <v>Light</v>
      </c>
      <c r="P728" t="str">
        <f>_xlfn.XLOOKUP(orders[[#This Row],[Customer ID]],customers!$A$1:$A$1001,customers!$I$1:$I$1001)</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 = 0, "", 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22"/>
        <v>29.849999999999998</v>
      </c>
      <c r="N729" t="str" cm="1">
        <f t="array" ref="N729">_xlfn.IFS(I729 = "Rob", "Robusta", I729 = "Exc", "Excelsa", I729 = "Ara", "Arabica", I729 = "Lib", "Liberica")</f>
        <v>Robusta</v>
      </c>
      <c r="O729" t="str">
        <f t="shared" si="23"/>
        <v>Medium</v>
      </c>
      <c r="P729" t="str">
        <f>_xlfn.XLOOKUP(orders[[#This Row],[Customer ID]],customers!$A$1:$A$1001,customers!$I$1:$I$1001)</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 = 0, "", 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22"/>
        <v>21.87</v>
      </c>
      <c r="N730" t="str" cm="1">
        <f t="array" ref="N730">_xlfn.IFS(I730 = "Rob", "Robusta", I730 = "Exc", "Excelsa", I730 = "Ara", "Arabica", I730 = "Lib", "Liberica")</f>
        <v>Excelsa</v>
      </c>
      <c r="O730" t="str">
        <f t="shared" si="23"/>
        <v>Dark</v>
      </c>
      <c r="P730" t="str">
        <f>_xlfn.XLOOKUP(orders[[#This Row],[Customer ID]],customers!$A$1:$A$1001,customers!$I$1:$I$1001)</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 = 0, "", 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22"/>
        <v>4.3650000000000002</v>
      </c>
      <c r="N731" t="str" cm="1">
        <f t="array" ref="N731">_xlfn.IFS(I731 = "Rob", "Robusta", I731 = "Exc", "Excelsa", I731 = "Ara", "Arabica", I731 = "Lib", "Liberica")</f>
        <v>Liberica</v>
      </c>
      <c r="O731" t="str">
        <f t="shared" si="23"/>
        <v>Medium</v>
      </c>
      <c r="P731" t="str">
        <f>_xlfn.XLOOKUP(orders[[#This Row],[Customer ID]],customers!$A$1:$A$1001,customers!$I$1:$I$1001)</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 = 0, "", 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22"/>
        <v>36.454999999999998</v>
      </c>
      <c r="N732" t="str" cm="1">
        <f t="array" ref="N732">_xlfn.IFS(I732 = "Rob", "Robusta", I732 = "Exc", "Excelsa", I732 = "Ara", "Arabica", I732 = "Lib", "Liberica")</f>
        <v>Liberica</v>
      </c>
      <c r="O732" t="str">
        <f t="shared" si="23"/>
        <v>Light</v>
      </c>
      <c r="P732" t="str">
        <f>_xlfn.XLOOKUP(orders[[#This Row],[Customer ID]],customers!$A$1:$A$1001,customers!$I$1:$I$1001)</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 = 0, "", 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22"/>
        <v>15.54</v>
      </c>
      <c r="N733" t="str" cm="1">
        <f t="array" ref="N733">_xlfn.IFS(I733 = "Rob", "Robusta", I733 = "Exc", "Excelsa", I733 = "Ara", "Arabica", I733 = "Lib", "Liberica")</f>
        <v>Liberica</v>
      </c>
      <c r="O733" t="str">
        <f t="shared" si="23"/>
        <v>Dark</v>
      </c>
      <c r="P733" t="str">
        <f>_xlfn.XLOOKUP(orders[[#This Row],[Customer ID]],customers!$A$1:$A$1001,customers!$I$1:$I$1001)</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 = 0, "", 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22"/>
        <v>8.91</v>
      </c>
      <c r="N734" t="str" cm="1">
        <f t="array" ref="N734">_xlfn.IFS(I734 = "Rob", "Robusta", I734 = "Exc", "Excelsa", I734 = "Ara", "Arabica", I734 = "Lib", "Liberica")</f>
        <v>Excelsa</v>
      </c>
      <c r="O734" t="str">
        <f t="shared" si="23"/>
        <v>Light</v>
      </c>
      <c r="P734" t="str">
        <f>_xlfn.XLOOKUP(orders[[#This Row],[Customer ID]],customers!$A$1:$A$1001,customers!$I$1:$I$1001)</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 = 0, "", 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22"/>
        <v>100.39499999999998</v>
      </c>
      <c r="N735" t="str" cm="1">
        <f t="array" ref="N735">_xlfn.IFS(I735 = "Rob", "Robusta", I735 = "Exc", "Excelsa", I735 = "Ara", "Arabica", I735 = "Lib", "Liberica")</f>
        <v>Liberica</v>
      </c>
      <c r="O735" t="str">
        <f t="shared" si="23"/>
        <v>Medium</v>
      </c>
      <c r="P735" t="str">
        <f>_xlfn.XLOOKUP(orders[[#This Row],[Customer ID]],customers!$A$1:$A$1001,customers!$I$1:$I$1001)</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 = 0, "", 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22"/>
        <v>13.424999999999997</v>
      </c>
      <c r="N736" t="str" cm="1">
        <f t="array" ref="N736">_xlfn.IFS(I736 = "Rob", "Robusta", I736 = "Exc", "Excelsa", I736 = "Ara", "Arabica", I736 = "Lib", "Liberica")</f>
        <v>Robusta</v>
      </c>
      <c r="O736" t="str">
        <f t="shared" si="23"/>
        <v>Dark</v>
      </c>
      <c r="P736" t="str">
        <f>_xlfn.XLOOKUP(orders[[#This Row],[Customer ID]],customers!$A$1:$A$1001,customers!$I$1:$I$1001)</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 = 0, "", 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22"/>
        <v>21.87</v>
      </c>
      <c r="N737" t="str" cm="1">
        <f t="array" ref="N737">_xlfn.IFS(I737 = "Rob", "Robusta", I737 = "Exc", "Excelsa", I737 = "Ara", "Arabica", I737 = "Lib", "Liberica")</f>
        <v>Excelsa</v>
      </c>
      <c r="O737" t="str">
        <f t="shared" si="23"/>
        <v>Dark</v>
      </c>
      <c r="P737" t="str">
        <f>_xlfn.XLOOKUP(orders[[#This Row],[Customer ID]],customers!$A$1:$A$1001,customers!$I$1:$I$1001)</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 = 0, "", 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22"/>
        <v>25.9</v>
      </c>
      <c r="N738" t="str" cm="1">
        <f t="array" ref="N738">_xlfn.IFS(I738 = "Rob", "Robusta", I738 = "Exc", "Excelsa", I738 = "Ara", "Arabica", I738 = "Lib", "Liberica")</f>
        <v>Liberica</v>
      </c>
      <c r="O738" t="str">
        <f t="shared" si="23"/>
        <v>Dark</v>
      </c>
      <c r="P738" t="str">
        <f>_xlfn.XLOOKUP(orders[[#This Row],[Customer ID]],customers!$A$1:$A$1001,customers!$I$1:$I$1001)</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 = 0, "", 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22"/>
        <v>56.25</v>
      </c>
      <c r="N739" t="str" cm="1">
        <f t="array" ref="N739">_xlfn.IFS(I739 = "Rob", "Robusta", I739 = "Exc", "Excelsa", I739 = "Ara", "Arabica", I739 = "Lib", "Liberica")</f>
        <v>Arabica</v>
      </c>
      <c r="O739" t="str">
        <f t="shared" si="23"/>
        <v>Medium</v>
      </c>
      <c r="P739" t="str">
        <f>_xlfn.XLOOKUP(orders[[#This Row],[Customer ID]],customers!$A$1:$A$1001,customers!$I$1:$I$1001)</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 = 0, "", 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22"/>
        <v>10.754999999999999</v>
      </c>
      <c r="N740" t="str" cm="1">
        <f t="array" ref="N740">_xlfn.IFS(I740 = "Rob", "Robusta", I740 = "Exc", "Excelsa", I740 = "Ara", "Arabica", I740 = "Lib", "Liberica")</f>
        <v>Robusta</v>
      </c>
      <c r="O740" t="str">
        <f t="shared" si="23"/>
        <v>Light</v>
      </c>
      <c r="P740" t="str">
        <f>_xlfn.XLOOKUP(orders[[#This Row],[Customer ID]],customers!$A$1:$A$1001,customers!$I$1:$I$1001)</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 = 0, "", 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22"/>
        <v>18.225000000000001</v>
      </c>
      <c r="N741" t="str" cm="1">
        <f t="array" ref="N741">_xlfn.IFS(I741 = "Rob", "Robusta", I741 = "Exc", "Excelsa", I741 = "Ara", "Arabica", I741 = "Lib", "Liberica")</f>
        <v>Excelsa</v>
      </c>
      <c r="O741" t="str">
        <f t="shared" si="23"/>
        <v>Dark</v>
      </c>
      <c r="P741" t="str">
        <f>_xlfn.XLOOKUP(orders[[#This Row],[Customer ID]],customers!$A$1:$A$1001,customers!$I$1:$I$1001)</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 = 0, "", 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22"/>
        <v>28.679999999999996</v>
      </c>
      <c r="N742" t="str" cm="1">
        <f t="array" ref="N742">_xlfn.IFS(I742 = "Rob", "Robusta", I742 = "Exc", "Excelsa", I742 = "Ara", "Arabica", I742 = "Lib", "Liberica")</f>
        <v>Robusta</v>
      </c>
      <c r="O742" t="str">
        <f t="shared" si="23"/>
        <v>Light</v>
      </c>
      <c r="P742" t="str">
        <f>_xlfn.XLOOKUP(orders[[#This Row],[Customer ID]],customers!$A$1:$A$1001,customers!$I$1:$I$1001)</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 = 0, "", 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22"/>
        <v>8.73</v>
      </c>
      <c r="N743" t="str" cm="1">
        <f t="array" ref="N743">_xlfn.IFS(I743 = "Rob", "Robusta", I743 = "Exc", "Excelsa", I743 = "Ara", "Arabica", I743 = "Lib", "Liberica")</f>
        <v>Liberica</v>
      </c>
      <c r="O743" t="str">
        <f t="shared" si="23"/>
        <v>Medium</v>
      </c>
      <c r="P743" t="str">
        <f>_xlfn.XLOOKUP(orders[[#This Row],[Customer ID]],customers!$A$1:$A$1001,customers!$I$1:$I$1001)</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 = 0, "", 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22"/>
        <v>58.2</v>
      </c>
      <c r="N744" t="str" cm="1">
        <f t="array" ref="N744">_xlfn.IFS(I744 = "Rob", "Robusta", I744 = "Exc", "Excelsa", I744 = "Ara", "Arabica", I744 = "Lib", "Liberica")</f>
        <v>Liberica</v>
      </c>
      <c r="O744" t="str">
        <f t="shared" si="23"/>
        <v>Medium</v>
      </c>
      <c r="P744" t="str">
        <f>_xlfn.XLOOKUP(orders[[#This Row],[Customer ID]],customers!$A$1:$A$1001,customers!$I$1:$I$1001)</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 = 0, "", 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22"/>
        <v>17.91</v>
      </c>
      <c r="N745" t="str" cm="1">
        <f t="array" ref="N745">_xlfn.IFS(I745 = "Rob", "Robusta", I745 = "Exc", "Excelsa", I745 = "Ara", "Arabica", I745 = "Lib", "Liberica")</f>
        <v>Arabica</v>
      </c>
      <c r="O745" t="str">
        <f t="shared" si="23"/>
        <v>Dark</v>
      </c>
      <c r="P745" t="str">
        <f>_xlfn.XLOOKUP(orders[[#This Row],[Customer ID]],customers!$A$1:$A$1001,customers!$I$1:$I$1001)</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 = 0, "", 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22"/>
        <v>17.91</v>
      </c>
      <c r="N746" t="str" cm="1">
        <f t="array" ref="N746">_xlfn.IFS(I746 = "Rob", "Robusta", I746 = "Exc", "Excelsa", I746 = "Ara", "Arabica", I746 = "Lib", "Liberica")</f>
        <v>Robusta</v>
      </c>
      <c r="O746" t="str">
        <f t="shared" si="23"/>
        <v>Medium</v>
      </c>
      <c r="P746" t="str">
        <f>_xlfn.XLOOKUP(orders[[#This Row],[Customer ID]],customers!$A$1:$A$1001,customers!$I$1:$I$1001)</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 = 0, "", 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22"/>
        <v>14.58</v>
      </c>
      <c r="N747" t="str" cm="1">
        <f t="array" ref="N747">_xlfn.IFS(I747 = "Rob", "Robusta", I747 = "Exc", "Excelsa", I747 = "Ara", "Arabica", I747 = "Lib", "Liberica")</f>
        <v>Excelsa</v>
      </c>
      <c r="O747" t="str">
        <f t="shared" si="23"/>
        <v>Dark</v>
      </c>
      <c r="P747" t="str">
        <f>_xlfn.XLOOKUP(orders[[#This Row],[Customer ID]],customers!$A$1:$A$1001,customers!$I$1:$I$1001)</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 = 0, "", 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22"/>
        <v>33.75</v>
      </c>
      <c r="N748" t="str" cm="1">
        <f t="array" ref="N748">_xlfn.IFS(I748 = "Rob", "Robusta", I748 = "Exc", "Excelsa", I748 = "Ara", "Arabica", I748 = "Lib", "Liberica")</f>
        <v>Arabica</v>
      </c>
      <c r="O748" t="str">
        <f t="shared" si="23"/>
        <v>Medium</v>
      </c>
      <c r="P748" t="str">
        <f>_xlfn.XLOOKUP(orders[[#This Row],[Customer ID]],customers!$A$1:$A$1001,customers!$I$1:$I$1001)</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 = 0, "", 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22"/>
        <v>34.92</v>
      </c>
      <c r="N749" t="str" cm="1">
        <f t="array" ref="N749">_xlfn.IFS(I749 = "Rob", "Robusta", I749 = "Exc", "Excelsa", I749 = "Ara", "Arabica", I749 = "Lib", "Liberica")</f>
        <v>Liberica</v>
      </c>
      <c r="O749" t="str">
        <f t="shared" si="23"/>
        <v>Medium</v>
      </c>
      <c r="P749" t="str">
        <f>_xlfn.XLOOKUP(orders[[#This Row],[Customer ID]],customers!$A$1:$A$1001,customers!$I$1:$I$1001)</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 = 0, "", 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22"/>
        <v>14.58</v>
      </c>
      <c r="N750" t="str" cm="1">
        <f t="array" ref="N750">_xlfn.IFS(I750 = "Rob", "Robusta", I750 = "Exc", "Excelsa", I750 = "Ara", "Arabica", I750 = "Lib", "Liberica")</f>
        <v>Excelsa</v>
      </c>
      <c r="O750" t="str">
        <f t="shared" si="23"/>
        <v>Dark</v>
      </c>
      <c r="P750" t="str">
        <f>_xlfn.XLOOKUP(orders[[#This Row],[Customer ID]],customers!$A$1:$A$1001,customers!$I$1:$I$1001)</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 = 0, "", 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22"/>
        <v>5.3699999999999992</v>
      </c>
      <c r="N751" t="str" cm="1">
        <f t="array" ref="N751">_xlfn.IFS(I751 = "Rob", "Robusta", I751 = "Exc", "Excelsa", I751 = "Ara", "Arabica", I751 = "Lib", "Liberica")</f>
        <v>Robusta</v>
      </c>
      <c r="O751" t="str">
        <f t="shared" si="23"/>
        <v>Dark</v>
      </c>
      <c r="P751" t="str">
        <f>_xlfn.XLOOKUP(orders[[#This Row],[Customer ID]],customers!$A$1:$A$1001,customers!$I$1:$I$1001)</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 = 0, "", 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22"/>
        <v>5.97</v>
      </c>
      <c r="N752" t="str" cm="1">
        <f t="array" ref="N752">_xlfn.IFS(I752 = "Rob", "Robusta", I752 = "Exc", "Excelsa", I752 = "Ara", "Arabica", I752 = "Lib", "Liberica")</f>
        <v>Robusta</v>
      </c>
      <c r="O752" t="str">
        <f t="shared" si="23"/>
        <v>Medium</v>
      </c>
      <c r="P752" t="str">
        <f>_xlfn.XLOOKUP(orders[[#This Row],[Customer ID]],customers!$A$1:$A$1001,customers!$I$1:$I$1001)</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 = 0, "", 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22"/>
        <v>19.02</v>
      </c>
      <c r="N753" t="str" cm="1">
        <f t="array" ref="N753">_xlfn.IFS(I753 = "Rob", "Robusta", I753 = "Exc", "Excelsa", I753 = "Ara", "Arabica", I753 = "Lib", "Liberica")</f>
        <v>Liberica</v>
      </c>
      <c r="O753" t="str">
        <f t="shared" si="23"/>
        <v>Light</v>
      </c>
      <c r="P753" t="str">
        <f>_xlfn.XLOOKUP(orders[[#This Row],[Customer ID]],customers!$A$1:$A$1001,customers!$I$1:$I$1001)</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 = 0, "", 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22"/>
        <v>27.5</v>
      </c>
      <c r="N754" t="str" cm="1">
        <f t="array" ref="N754">_xlfn.IFS(I754 = "Rob", "Robusta", I754 = "Exc", "Excelsa", I754 = "Ara", "Arabica", I754 = "Lib", "Liberica")</f>
        <v>Excelsa</v>
      </c>
      <c r="O754" t="str">
        <f t="shared" si="23"/>
        <v>Medium</v>
      </c>
      <c r="P754" t="str">
        <f>_xlfn.XLOOKUP(orders[[#This Row],[Customer ID]],customers!$A$1:$A$1001,customers!$I$1:$I$1001)</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 = 0, "", 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22"/>
        <v>29.849999999999998</v>
      </c>
      <c r="N755" t="str" cm="1">
        <f t="array" ref="N755">_xlfn.IFS(I755 = "Rob", "Robusta", I755 = "Exc", "Excelsa", I755 = "Ara", "Arabica", I755 = "Lib", "Liberica")</f>
        <v>Arabica</v>
      </c>
      <c r="O755" t="str">
        <f t="shared" si="23"/>
        <v>Dark</v>
      </c>
      <c r="P755" t="str">
        <f>_xlfn.XLOOKUP(orders[[#This Row],[Customer ID]],customers!$A$1:$A$1001,customers!$I$1:$I$1001)</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 = 0, "", 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22"/>
        <v>17.91</v>
      </c>
      <c r="N756" t="str" cm="1">
        <f t="array" ref="N756">_xlfn.IFS(I756 = "Rob", "Robusta", I756 = "Exc", "Excelsa", I756 = "Ara", "Arabica", I756 = "Lib", "Liberica")</f>
        <v>Arabica</v>
      </c>
      <c r="O756" t="str">
        <f t="shared" si="23"/>
        <v>Dark</v>
      </c>
      <c r="P756" t="str">
        <f>_xlfn.XLOOKUP(orders[[#This Row],[Customer ID]],customers!$A$1:$A$1001,customers!$I$1:$I$1001)</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 = 0, "", 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22"/>
        <v>28.53</v>
      </c>
      <c r="N757" t="str" cm="1">
        <f t="array" ref="N757">_xlfn.IFS(I757 = "Rob", "Robusta", I757 = "Exc", "Excelsa", I757 = "Ara", "Arabica", I757 = "Lib", "Liberica")</f>
        <v>Liberica</v>
      </c>
      <c r="O757" t="str">
        <f t="shared" si="23"/>
        <v>Light</v>
      </c>
      <c r="P757" t="str">
        <f>_xlfn.XLOOKUP(orders[[#This Row],[Customer ID]],customers!$A$1:$A$1001,customers!$I$1:$I$1001)</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 = 0, "", 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22"/>
        <v>35.799999999999997</v>
      </c>
      <c r="N758" t="str" cm="1">
        <f t="array" ref="N758">_xlfn.IFS(I758 = "Rob", "Robusta", I758 = "Exc", "Excelsa", I758 = "Ara", "Arabica", I758 = "Lib", "Liberica")</f>
        <v>Robusta</v>
      </c>
      <c r="O758" t="str">
        <f t="shared" si="23"/>
        <v>Dark</v>
      </c>
      <c r="P758" t="str">
        <f>_xlfn.XLOOKUP(orders[[#This Row],[Customer ID]],customers!$A$1:$A$1001,customers!$I$1:$I$1001)</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 = 0, "", 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22"/>
        <v>17.91</v>
      </c>
      <c r="N759" t="str" cm="1">
        <f t="array" ref="N759">_xlfn.IFS(I759 = "Rob", "Robusta", I759 = "Exc", "Excelsa", I759 = "Ara", "Arabica", I759 = "Lib", "Liberica")</f>
        <v>Arabica</v>
      </c>
      <c r="O759" t="str">
        <f t="shared" si="23"/>
        <v>Dark</v>
      </c>
      <c r="P759" t="str">
        <f>_xlfn.XLOOKUP(orders[[#This Row],[Customer ID]],customers!$A$1:$A$1001,customers!$I$1:$I$1001)</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 = 0, "", 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22"/>
        <v>8.9499999999999993</v>
      </c>
      <c r="N760" t="str" cm="1">
        <f t="array" ref="N760">_xlfn.IFS(I760 = "Rob", "Robusta", I760 = "Exc", "Excelsa", I760 = "Ara", "Arabica", I760 = "Lib", "Liberica")</f>
        <v>Robusta</v>
      </c>
      <c r="O760" t="str">
        <f t="shared" si="23"/>
        <v>Dark</v>
      </c>
      <c r="P760" t="str">
        <f>_xlfn.XLOOKUP(orders[[#This Row],[Customer ID]],customers!$A$1:$A$1001,customers!$I$1:$I$1001)</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 = 0, "", 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22"/>
        <v>29.784999999999997</v>
      </c>
      <c r="N761" t="str" cm="1">
        <f t="array" ref="N761">_xlfn.IFS(I761 = "Rob", "Robusta", I761 = "Exc", "Excelsa", I761 = "Ara", "Arabica", I761 = "Lib", "Liberica")</f>
        <v>Liberica</v>
      </c>
      <c r="O761" t="str">
        <f t="shared" si="23"/>
        <v>Dark</v>
      </c>
      <c r="P761" t="str">
        <f>_xlfn.XLOOKUP(orders[[#This Row],[Customer ID]],customers!$A$1:$A$1001,customers!$I$1:$I$1001)</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 = 0, "", 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22"/>
        <v>44.55</v>
      </c>
      <c r="N762" t="str" cm="1">
        <f t="array" ref="N762">_xlfn.IFS(I762 = "Rob", "Robusta", I762 = "Exc", "Excelsa", I762 = "Ara", "Arabica", I762 = "Lib", "Liberica")</f>
        <v>Excelsa</v>
      </c>
      <c r="O762" t="str">
        <f t="shared" si="23"/>
        <v>Light</v>
      </c>
      <c r="P762" t="str">
        <f>_xlfn.XLOOKUP(orders[[#This Row],[Customer ID]],customers!$A$1:$A$1001,customers!$I$1:$I$1001)</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 = 0, "", 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22"/>
        <v>89.1</v>
      </c>
      <c r="N763" t="str" cm="1">
        <f t="array" ref="N763">_xlfn.IFS(I763 = "Rob", "Robusta", I763 = "Exc", "Excelsa", I763 = "Ara", "Arabica", I763 = "Lib", "Liberica")</f>
        <v>Excelsa</v>
      </c>
      <c r="O763" t="str">
        <f t="shared" si="23"/>
        <v>Light</v>
      </c>
      <c r="P763" t="str">
        <f>_xlfn.XLOOKUP(orders[[#This Row],[Customer ID]],customers!$A$1:$A$1001,customers!$I$1:$I$1001)</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 = 0, "", 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22"/>
        <v>43.650000000000006</v>
      </c>
      <c r="N764" t="str" cm="1">
        <f t="array" ref="N764">_xlfn.IFS(I764 = "Rob", "Robusta", I764 = "Exc", "Excelsa", I764 = "Ara", "Arabica", I764 = "Lib", "Liberica")</f>
        <v>Liberica</v>
      </c>
      <c r="O764" t="str">
        <f t="shared" si="23"/>
        <v>Medium</v>
      </c>
      <c r="P764" t="str">
        <f>_xlfn.XLOOKUP(orders[[#This Row],[Customer ID]],customers!$A$1:$A$1001,customers!$I$1:$I$1001)</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 = 0, "", 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22"/>
        <v>23.31</v>
      </c>
      <c r="N765" t="str" cm="1">
        <f t="array" ref="N765">_xlfn.IFS(I765 = "Rob", "Robusta", I765 = "Exc", "Excelsa", I765 = "Ara", "Arabica", I765 = "Lib", "Liberica")</f>
        <v>Arabica</v>
      </c>
      <c r="O765" t="str">
        <f t="shared" si="23"/>
        <v>Light</v>
      </c>
      <c r="P765" t="str">
        <f>_xlfn.XLOOKUP(orders[[#This Row],[Customer ID]],customers!$A$1:$A$1001,customers!$I$1:$I$1001)</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 = 0, "", 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22"/>
        <v>178.70999999999998</v>
      </c>
      <c r="N766" t="str" cm="1">
        <f t="array" ref="N766">_xlfn.IFS(I766 = "Rob", "Robusta", I766 = "Exc", "Excelsa", I766 = "Ara", "Arabica", I766 = "Lib", "Liberica")</f>
        <v>Arabica</v>
      </c>
      <c r="O766" t="str">
        <f t="shared" si="23"/>
        <v>Light</v>
      </c>
      <c r="P766" t="str">
        <f>_xlfn.XLOOKUP(orders[[#This Row],[Customer ID]],customers!$A$1:$A$1001,customers!$I$1:$I$1001)</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 = 0, "", 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22"/>
        <v>59.699999999999996</v>
      </c>
      <c r="N767" t="str" cm="1">
        <f t="array" ref="N767">_xlfn.IFS(I767 = "Rob", "Robusta", I767 = "Exc", "Excelsa", I767 = "Ara", "Arabica", I767 = "Lib", "Liberica")</f>
        <v>Robusta</v>
      </c>
      <c r="O767" t="str">
        <f t="shared" si="23"/>
        <v>Medium</v>
      </c>
      <c r="P767" t="str">
        <f>_xlfn.XLOOKUP(orders[[#This Row],[Customer ID]],customers!$A$1:$A$1001,customers!$I$1:$I$1001)</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 = 0, "", 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22"/>
        <v>15.54</v>
      </c>
      <c r="N768" t="str" cm="1">
        <f t="array" ref="N768">_xlfn.IFS(I768 = "Rob", "Robusta", I768 = "Exc", "Excelsa", I768 = "Ara", "Arabica", I768 = "Lib", "Liberica")</f>
        <v>Arabica</v>
      </c>
      <c r="O768" t="str">
        <f t="shared" si="23"/>
        <v>Light</v>
      </c>
      <c r="P768" t="str">
        <f>_xlfn.XLOOKUP(orders[[#This Row],[Customer ID]],customers!$A$1:$A$1001,customers!$I$1:$I$1001)</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 = 0, "", 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22"/>
        <v>89.35499999999999</v>
      </c>
      <c r="N769" t="str" cm="1">
        <f t="array" ref="N769">_xlfn.IFS(I769 = "Rob", "Robusta", I769 = "Exc", "Excelsa", I769 = "Ara", "Arabica", I769 = "Lib", "Liberica")</f>
        <v>Arabica</v>
      </c>
      <c r="O769" t="str">
        <f t="shared" si="23"/>
        <v>Light</v>
      </c>
      <c r="P769" t="str">
        <f>_xlfn.XLOOKUP(orders[[#This Row],[Customer ID]],customers!$A$1:$A$1001,customers!$I$1:$I$1001)</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 = 0, "", 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22"/>
        <v>23.9</v>
      </c>
      <c r="N770" t="str" cm="1">
        <f t="array" ref="N770">_xlfn.IFS(I770 = "Rob", "Robusta", I770 = "Exc", "Excelsa", I770 = "Ara", "Arabica", I770 = "Lib", "Liberica")</f>
        <v>Robusta</v>
      </c>
      <c r="O770" t="str">
        <f t="shared" si="23"/>
        <v>Light</v>
      </c>
      <c r="P770" t="str">
        <f>_xlfn.XLOOKUP(orders[[#This Row],[Customer ID]],customers!$A$1:$A$1001,customers!$I$1:$I$1001)</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 = 0, "", 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24">SUM(L771*E771)</f>
        <v>137.31</v>
      </c>
      <c r="N771" t="str" cm="1">
        <f t="array" ref="N771">_xlfn.IFS(I771 = "Rob", "Robusta", I771 = "Exc", "Excelsa", I771 = "Ara", "Arabica", I771 = "Lib", "Liberica")</f>
        <v>Robusta</v>
      </c>
      <c r="O771" t="str">
        <f t="shared" ref="O771:O834" si="25">IF(J771 = "M", "Medium", IF(J771= "L", "Light",IF( J771 = "D", "Dark")))</f>
        <v>Medium</v>
      </c>
      <c r="P771" t="str">
        <f>_xlfn.XLOOKUP(orders[[#This Row],[Customer ID]],customers!$A$1:$A$1001,customers!$I$1:$I$1001)</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 = 0, "", 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24"/>
        <v>9.9499999999999993</v>
      </c>
      <c r="N772" t="str" cm="1">
        <f t="array" ref="N772">_xlfn.IFS(I772 = "Rob", "Robusta", I772 = "Exc", "Excelsa", I772 = "Ara", "Arabica", I772 = "Lib", "Liberica")</f>
        <v>Arabica</v>
      </c>
      <c r="O772" t="str">
        <f t="shared" si="25"/>
        <v>Dark</v>
      </c>
      <c r="P772" t="str">
        <f>_xlfn.XLOOKUP(orders[[#This Row],[Customer ID]],customers!$A$1:$A$1001,customers!$I$1:$I$1001)</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 = 0, "", 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24"/>
        <v>21.509999999999998</v>
      </c>
      <c r="N773" t="str" cm="1">
        <f t="array" ref="N773">_xlfn.IFS(I773 = "Rob", "Robusta", I773 = "Exc", "Excelsa", I773 = "Ara", "Arabica", I773 = "Lib", "Liberica")</f>
        <v>Robusta</v>
      </c>
      <c r="O773" t="str">
        <f t="shared" si="25"/>
        <v>Light</v>
      </c>
      <c r="P773" t="str">
        <f>_xlfn.XLOOKUP(orders[[#This Row],[Customer ID]],customers!$A$1:$A$1001,customers!$I$1:$I$1001)</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 = 0, "", 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24"/>
        <v>82.5</v>
      </c>
      <c r="N774" t="str" cm="1">
        <f t="array" ref="N774">_xlfn.IFS(I774 = "Rob", "Robusta", I774 = "Exc", "Excelsa", I774 = "Ara", "Arabica", I774 = "Lib", "Liberica")</f>
        <v>Excelsa</v>
      </c>
      <c r="O774" t="str">
        <f t="shared" si="25"/>
        <v>Medium</v>
      </c>
      <c r="P774" t="str">
        <f>_xlfn.XLOOKUP(orders[[#This Row],[Customer ID]],customers!$A$1:$A$1001,customers!$I$1:$I$1001)</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 = 0, "", 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24"/>
        <v>8.73</v>
      </c>
      <c r="N775" t="str" cm="1">
        <f t="array" ref="N775">_xlfn.IFS(I775 = "Rob", "Robusta", I775 = "Exc", "Excelsa", I775 = "Ara", "Arabica", I775 = "Lib", "Liberica")</f>
        <v>Liberica</v>
      </c>
      <c r="O775" t="str">
        <f t="shared" si="25"/>
        <v>Medium</v>
      </c>
      <c r="P775" t="str">
        <f>_xlfn.XLOOKUP(orders[[#This Row],[Customer ID]],customers!$A$1:$A$1001,customers!$I$1:$I$1001)</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 = 0, "", 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24"/>
        <v>19.899999999999999</v>
      </c>
      <c r="N776" t="str" cm="1">
        <f t="array" ref="N776">_xlfn.IFS(I776 = "Rob", "Robusta", I776 = "Exc", "Excelsa", I776 = "Ara", "Arabica", I776 = "Lib", "Liberica")</f>
        <v>Robusta</v>
      </c>
      <c r="O776" t="str">
        <f t="shared" si="25"/>
        <v>Medium</v>
      </c>
      <c r="P776" t="str">
        <f>_xlfn.XLOOKUP(orders[[#This Row],[Customer ID]],customers!$A$1:$A$1001,customers!$I$1:$I$1001)</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 = 0, "", 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24"/>
        <v>17.82</v>
      </c>
      <c r="N777" t="str" cm="1">
        <f t="array" ref="N777">_xlfn.IFS(I777 = "Rob", "Robusta", I777 = "Exc", "Excelsa", I777 = "Ara", "Arabica", I777 = "Lib", "Liberica")</f>
        <v>Excelsa</v>
      </c>
      <c r="O777" t="str">
        <f t="shared" si="25"/>
        <v>Light</v>
      </c>
      <c r="P777" t="str">
        <f>_xlfn.XLOOKUP(orders[[#This Row],[Customer ID]],customers!$A$1:$A$1001,customers!$I$1:$I$1001)</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 = 0, "", 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24"/>
        <v>20.25</v>
      </c>
      <c r="N778" t="str" cm="1">
        <f t="array" ref="N778">_xlfn.IFS(I778 = "Rob", "Robusta", I778 = "Exc", "Excelsa", I778 = "Ara", "Arabica", I778 = "Lib", "Liberica")</f>
        <v>Arabica</v>
      </c>
      <c r="O778" t="str">
        <f t="shared" si="25"/>
        <v>Medium</v>
      </c>
      <c r="P778" t="str">
        <f>_xlfn.XLOOKUP(orders[[#This Row],[Customer ID]],customers!$A$1:$A$1001,customers!$I$1:$I$1001)</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 = 0, "", 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24"/>
        <v>59.569999999999993</v>
      </c>
      <c r="N779" t="str" cm="1">
        <f t="array" ref="N779">_xlfn.IFS(I779 = "Rob", "Robusta", I779 = "Exc", "Excelsa", I779 = "Ara", "Arabica", I779 = "Lib", "Liberica")</f>
        <v>Arabica</v>
      </c>
      <c r="O779" t="str">
        <f t="shared" si="25"/>
        <v>Light</v>
      </c>
      <c r="P779" t="str">
        <f>_xlfn.XLOOKUP(orders[[#This Row],[Customer ID]],customers!$A$1:$A$1001,customers!$I$1:$I$1001)</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 = 0, "", 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24"/>
        <v>19.02</v>
      </c>
      <c r="N780" t="str" cm="1">
        <f t="array" ref="N780">_xlfn.IFS(I780 = "Rob", "Robusta", I780 = "Exc", "Excelsa", I780 = "Ara", "Arabica", I780 = "Lib", "Liberica")</f>
        <v>Liberica</v>
      </c>
      <c r="O780" t="str">
        <f t="shared" si="25"/>
        <v>Light</v>
      </c>
      <c r="P780" t="str">
        <f>_xlfn.XLOOKUP(orders[[#This Row],[Customer ID]],customers!$A$1:$A$1001,customers!$I$1:$I$1001)</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 = 0, "", 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24"/>
        <v>77.699999999999989</v>
      </c>
      <c r="N781" t="str" cm="1">
        <f t="array" ref="N781">_xlfn.IFS(I781 = "Rob", "Robusta", I781 = "Exc", "Excelsa", I781 = "Ara", "Arabica", I781 = "Lib", "Liberica")</f>
        <v>Liberica</v>
      </c>
      <c r="O781" t="str">
        <f t="shared" si="25"/>
        <v>Dark</v>
      </c>
      <c r="P781" t="str">
        <f>_xlfn.XLOOKUP(orders[[#This Row],[Customer ID]],customers!$A$1:$A$1001,customers!$I$1:$I$1001)</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 = 0, "", 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24"/>
        <v>41.25</v>
      </c>
      <c r="N782" t="str" cm="1">
        <f t="array" ref="N782">_xlfn.IFS(I782 = "Rob", "Robusta", I782 = "Exc", "Excelsa", I782 = "Ara", "Arabica", I782 = "Lib", "Liberica")</f>
        <v>Excelsa</v>
      </c>
      <c r="O782" t="str">
        <f t="shared" si="25"/>
        <v>Medium</v>
      </c>
      <c r="P782" t="str">
        <f>_xlfn.XLOOKUP(orders[[#This Row],[Customer ID]],customers!$A$1:$A$1001,customers!$I$1:$I$1001)</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 = 0, "", 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24"/>
        <v>145.82</v>
      </c>
      <c r="N783" t="str" cm="1">
        <f t="array" ref="N783">_xlfn.IFS(I783 = "Rob", "Robusta", I783 = "Exc", "Excelsa", I783 = "Ara", "Arabica", I783 = "Lib", "Liberica")</f>
        <v>Liberica</v>
      </c>
      <c r="O783" t="str">
        <f t="shared" si="25"/>
        <v>Light</v>
      </c>
      <c r="P783" t="str">
        <f>_xlfn.XLOOKUP(orders[[#This Row],[Customer ID]],customers!$A$1:$A$1001,customers!$I$1:$I$1001)</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 = 0, "", 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24"/>
        <v>26.73</v>
      </c>
      <c r="N784" t="str" cm="1">
        <f t="array" ref="N784">_xlfn.IFS(I784 = "Rob", "Robusta", I784 = "Exc", "Excelsa", I784 = "Ara", "Arabica", I784 = "Lib", "Liberica")</f>
        <v>Excelsa</v>
      </c>
      <c r="O784" t="str">
        <f t="shared" si="25"/>
        <v>Light</v>
      </c>
      <c r="P784" t="str">
        <f>_xlfn.XLOOKUP(orders[[#This Row],[Customer ID]],customers!$A$1:$A$1001,customers!$I$1:$I$1001)</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 = 0, "", 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24"/>
        <v>43.650000000000006</v>
      </c>
      <c r="N785" t="str" cm="1">
        <f t="array" ref="N785">_xlfn.IFS(I785 = "Rob", "Robusta", I785 = "Exc", "Excelsa", I785 = "Ara", "Arabica", I785 = "Lib", "Liberica")</f>
        <v>Liberica</v>
      </c>
      <c r="O785" t="str">
        <f t="shared" si="25"/>
        <v>Medium</v>
      </c>
      <c r="P785" t="str">
        <f>_xlfn.XLOOKUP(orders[[#This Row],[Customer ID]],customers!$A$1:$A$1001,customers!$I$1:$I$1001)</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 = 0, "", 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24"/>
        <v>31.7</v>
      </c>
      <c r="N786" t="str" cm="1">
        <f t="array" ref="N786">_xlfn.IFS(I786 = "Rob", "Robusta", I786 = "Exc", "Excelsa", I786 = "Ara", "Arabica", I786 = "Lib", "Liberica")</f>
        <v>Liberica</v>
      </c>
      <c r="O786" t="str">
        <f t="shared" si="25"/>
        <v>Light</v>
      </c>
      <c r="P786" t="str">
        <f>_xlfn.XLOOKUP(orders[[#This Row],[Customer ID]],customers!$A$1:$A$1001,customers!$I$1:$I$1001)</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 = 0, "", 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24"/>
        <v>22.884999999999998</v>
      </c>
      <c r="N787" t="str" cm="1">
        <f t="array" ref="N787">_xlfn.IFS(I787 = "Rob", "Robusta", I787 = "Exc", "Excelsa", I787 = "Ara", "Arabica", I787 = "Lib", "Liberica")</f>
        <v>Arabica</v>
      </c>
      <c r="O787" t="str">
        <f t="shared" si="25"/>
        <v>Dark</v>
      </c>
      <c r="P787" t="str">
        <f>_xlfn.XLOOKUP(orders[[#This Row],[Customer ID]],customers!$A$1:$A$1001,customers!$I$1:$I$1001)</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 = 0, "", 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24"/>
        <v>27.945</v>
      </c>
      <c r="N788" t="str" cm="1">
        <f t="array" ref="N788">_xlfn.IFS(I788 = "Rob", "Robusta", I788 = "Exc", "Excelsa", I788 = "Ara", "Arabica", I788 = "Lib", "Liberica")</f>
        <v>Excelsa</v>
      </c>
      <c r="O788" t="str">
        <f t="shared" si="25"/>
        <v>Dark</v>
      </c>
      <c r="P788" t="str">
        <f>_xlfn.XLOOKUP(orders[[#This Row],[Customer ID]],customers!$A$1:$A$1001,customers!$I$1:$I$1001)</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 = 0, "", 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24"/>
        <v>82.5</v>
      </c>
      <c r="N789" t="str" cm="1">
        <f t="array" ref="N789">_xlfn.IFS(I789 = "Rob", "Robusta", I789 = "Exc", "Excelsa", I789 = "Ara", "Arabica", I789 = "Lib", "Liberica")</f>
        <v>Excelsa</v>
      </c>
      <c r="O789" t="str">
        <f t="shared" si="25"/>
        <v>Medium</v>
      </c>
      <c r="P789" t="str">
        <f>_xlfn.XLOOKUP(orders[[#This Row],[Customer ID]],customers!$A$1:$A$1001,customers!$I$1:$I$1001)</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 = 0, "", 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24"/>
        <v>45.769999999999996</v>
      </c>
      <c r="N790" t="str" cm="1">
        <f t="array" ref="N790">_xlfn.IFS(I790 = "Rob", "Robusta", I790 = "Exc", "Excelsa", I790 = "Ara", "Arabica", I790 = "Lib", "Liberica")</f>
        <v>Robusta</v>
      </c>
      <c r="O790" t="str">
        <f t="shared" si="25"/>
        <v>Medium</v>
      </c>
      <c r="P790" t="str">
        <f>_xlfn.XLOOKUP(orders[[#This Row],[Customer ID]],customers!$A$1:$A$1001,customers!$I$1:$I$1001)</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 = 0, "", 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24"/>
        <v>77.699999999999989</v>
      </c>
      <c r="N791" t="str" cm="1">
        <f t="array" ref="N791">_xlfn.IFS(I791 = "Rob", "Robusta", I791 = "Exc", "Excelsa", I791 = "Ara", "Arabica", I791 = "Lib", "Liberica")</f>
        <v>Arabica</v>
      </c>
      <c r="O791" t="str">
        <f t="shared" si="25"/>
        <v>Light</v>
      </c>
      <c r="P791" t="str">
        <f>_xlfn.XLOOKUP(orders[[#This Row],[Customer ID]],customers!$A$1:$A$1001,customers!$I$1:$I$1001)</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 = 0, "", 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24"/>
        <v>23.31</v>
      </c>
      <c r="N792" t="str" cm="1">
        <f t="array" ref="N792">_xlfn.IFS(I792 = "Rob", "Robusta", I792 = "Exc", "Excelsa", I792 = "Ara", "Arabica", I792 = "Lib", "Liberica")</f>
        <v>Arabica</v>
      </c>
      <c r="O792" t="str">
        <f t="shared" si="25"/>
        <v>Light</v>
      </c>
      <c r="P792" t="str">
        <f>_xlfn.XLOOKUP(orders[[#This Row],[Customer ID]],customers!$A$1:$A$1001,customers!$I$1:$I$1001)</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 = 0, "", 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24"/>
        <v>23.774999999999999</v>
      </c>
      <c r="N793" t="str" cm="1">
        <f t="array" ref="N793">_xlfn.IFS(I793 = "Rob", "Robusta", I793 = "Exc", "Excelsa", I793 = "Ara", "Arabica", I793 = "Lib", "Liberica")</f>
        <v>Liberica</v>
      </c>
      <c r="O793" t="str">
        <f t="shared" si="25"/>
        <v>Light</v>
      </c>
      <c r="P793" t="str">
        <f>_xlfn.XLOOKUP(orders[[#This Row],[Customer ID]],customers!$A$1:$A$1001,customers!$I$1:$I$1001)</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 = 0, "", 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24"/>
        <v>52.38</v>
      </c>
      <c r="N794" t="str" cm="1">
        <f t="array" ref="N794">_xlfn.IFS(I794 = "Rob", "Robusta", I794 = "Exc", "Excelsa", I794 = "Ara", "Arabica", I794 = "Lib", "Liberica")</f>
        <v>Liberica</v>
      </c>
      <c r="O794" t="str">
        <f t="shared" si="25"/>
        <v>Medium</v>
      </c>
      <c r="P794" t="str">
        <f>_xlfn.XLOOKUP(orders[[#This Row],[Customer ID]],customers!$A$1:$A$1001,customers!$I$1:$I$1001)</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 = 0, "", 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24"/>
        <v>17.924999999999997</v>
      </c>
      <c r="N795" t="str" cm="1">
        <f t="array" ref="N795">_xlfn.IFS(I795 = "Rob", "Robusta", I795 = "Exc", "Excelsa", I795 = "Ara", "Arabica", I795 = "Lib", "Liberica")</f>
        <v>Robusta</v>
      </c>
      <c r="O795" t="str">
        <f t="shared" si="25"/>
        <v>Light</v>
      </c>
      <c r="P795" t="str">
        <f>_xlfn.XLOOKUP(orders[[#This Row],[Customer ID]],customers!$A$1:$A$1001,customers!$I$1:$I$1001)</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 = 0, "", 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24"/>
        <v>148.92499999999998</v>
      </c>
      <c r="N796" t="str" cm="1">
        <f t="array" ref="N796">_xlfn.IFS(I796 = "Rob", "Robusta", I796 = "Exc", "Excelsa", I796 = "Ara", "Arabica", I796 = "Lib", "Liberica")</f>
        <v>Arabica</v>
      </c>
      <c r="O796" t="str">
        <f t="shared" si="25"/>
        <v>Light</v>
      </c>
      <c r="P796" t="str">
        <f>_xlfn.XLOOKUP(orders[[#This Row],[Customer ID]],customers!$A$1:$A$1001,customers!$I$1:$I$1001)</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 = 0, "", 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24"/>
        <v>28.679999999999996</v>
      </c>
      <c r="N797" t="str" cm="1">
        <f t="array" ref="N797">_xlfn.IFS(I797 = "Rob", "Robusta", I797 = "Exc", "Excelsa", I797 = "Ara", "Arabica", I797 = "Lib", "Liberica")</f>
        <v>Robusta</v>
      </c>
      <c r="O797" t="str">
        <f t="shared" si="25"/>
        <v>Light</v>
      </c>
      <c r="P797" t="str">
        <f>_xlfn.XLOOKUP(orders[[#This Row],[Customer ID]],customers!$A$1:$A$1001,customers!$I$1:$I$1001)</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 = 0, "", 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24"/>
        <v>9.51</v>
      </c>
      <c r="N798" t="str" cm="1">
        <f t="array" ref="N798">_xlfn.IFS(I798 = "Rob", "Robusta", I798 = "Exc", "Excelsa", I798 = "Ara", "Arabica", I798 = "Lib", "Liberica")</f>
        <v>Liberica</v>
      </c>
      <c r="O798" t="str">
        <f t="shared" si="25"/>
        <v>Light</v>
      </c>
      <c r="P798" t="str">
        <f>_xlfn.XLOOKUP(orders[[#This Row],[Customer ID]],customers!$A$1:$A$1001,customers!$I$1:$I$1001)</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 = 0, "", 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24"/>
        <v>31.08</v>
      </c>
      <c r="N799" t="str" cm="1">
        <f t="array" ref="N799">_xlfn.IFS(I799 = "Rob", "Robusta", I799 = "Exc", "Excelsa", I799 = "Ara", "Arabica", I799 = "Lib", "Liberica")</f>
        <v>Arabica</v>
      </c>
      <c r="O799" t="str">
        <f t="shared" si="25"/>
        <v>Light</v>
      </c>
      <c r="P799" t="str">
        <f>_xlfn.XLOOKUP(orders[[#This Row],[Customer ID]],customers!$A$1:$A$1001,customers!$I$1:$I$1001)</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 = 0, "", 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24"/>
        <v>8.0549999999999997</v>
      </c>
      <c r="N800" t="str" cm="1">
        <f t="array" ref="N800">_xlfn.IFS(I800 = "Rob", "Robusta", I800 = "Exc", "Excelsa", I800 = "Ara", "Arabica", I800 = "Lib", "Liberica")</f>
        <v>Robusta</v>
      </c>
      <c r="O800" t="str">
        <f t="shared" si="25"/>
        <v>Dark</v>
      </c>
      <c r="P800" t="str">
        <f>_xlfn.XLOOKUP(orders[[#This Row],[Customer ID]],customers!$A$1:$A$1001,customers!$I$1:$I$1001)</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 = 0, "", 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24"/>
        <v>36.450000000000003</v>
      </c>
      <c r="N801" t="str" cm="1">
        <f t="array" ref="N801">_xlfn.IFS(I801 = "Rob", "Robusta", I801 = "Exc", "Excelsa", I801 = "Ara", "Arabica", I801 = "Lib", "Liberica")</f>
        <v>Excelsa</v>
      </c>
      <c r="O801" t="str">
        <f t="shared" si="25"/>
        <v>Dark</v>
      </c>
      <c r="P801" t="str">
        <f>_xlfn.XLOOKUP(orders[[#This Row],[Customer ID]],customers!$A$1:$A$1001,customers!$I$1:$I$1001)</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 = 0, "", 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24"/>
        <v>16.11</v>
      </c>
      <c r="N802" t="str" cm="1">
        <f t="array" ref="N802">_xlfn.IFS(I802 = "Rob", "Robusta", I802 = "Exc", "Excelsa", I802 = "Ara", "Arabica", I802 = "Lib", "Liberica")</f>
        <v>Robusta</v>
      </c>
      <c r="O802" t="str">
        <f t="shared" si="25"/>
        <v>Dark</v>
      </c>
      <c r="P802" t="str">
        <f>_xlfn.XLOOKUP(orders[[#This Row],[Customer ID]],customers!$A$1:$A$1001,customers!$I$1:$I$1001)</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 = 0, "", 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24"/>
        <v>41.169999999999995</v>
      </c>
      <c r="N803" t="str" cm="1">
        <f t="array" ref="N803">_xlfn.IFS(I803 = "Rob", "Robusta", I803 = "Exc", "Excelsa", I803 = "Ara", "Arabica", I803 = "Lib", "Liberica")</f>
        <v>Robusta</v>
      </c>
      <c r="O803" t="str">
        <f t="shared" si="25"/>
        <v>Dark</v>
      </c>
      <c r="P803" t="str">
        <f>_xlfn.XLOOKUP(orders[[#This Row],[Customer ID]],customers!$A$1:$A$1001,customers!$I$1:$I$1001)</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 = 0, "", 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24"/>
        <v>10.739999999999998</v>
      </c>
      <c r="N804" t="str" cm="1">
        <f t="array" ref="N804">_xlfn.IFS(I804 = "Rob", "Robusta", I804 = "Exc", "Excelsa", I804 = "Ara", "Arabica", I804 = "Lib", "Liberica")</f>
        <v>Robusta</v>
      </c>
      <c r="O804" t="str">
        <f t="shared" si="25"/>
        <v>Dark</v>
      </c>
      <c r="P804" t="str">
        <f>_xlfn.XLOOKUP(orders[[#This Row],[Customer ID]],customers!$A$1:$A$1001,customers!$I$1:$I$1001)</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 = 0, "", 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24"/>
        <v>126.49999999999999</v>
      </c>
      <c r="N805" t="str" cm="1">
        <f t="array" ref="N805">_xlfn.IFS(I805 = "Rob", "Robusta", I805 = "Exc", "Excelsa", I805 = "Ara", "Arabica", I805 = "Lib", "Liberica")</f>
        <v>Excelsa</v>
      </c>
      <c r="O805" t="str">
        <f t="shared" si="25"/>
        <v>Medium</v>
      </c>
      <c r="P805" t="str">
        <f>_xlfn.XLOOKUP(orders[[#This Row],[Customer ID]],customers!$A$1:$A$1001,customers!$I$1:$I$1001)</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 = 0, "", 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24"/>
        <v>23.9</v>
      </c>
      <c r="N806" t="str" cm="1">
        <f t="array" ref="N806">_xlfn.IFS(I806 = "Rob", "Robusta", I806 = "Exc", "Excelsa", I806 = "Ara", "Arabica", I806 = "Lib", "Liberica")</f>
        <v>Robusta</v>
      </c>
      <c r="O806" t="str">
        <f t="shared" si="25"/>
        <v>Light</v>
      </c>
      <c r="P806" t="str">
        <f>_xlfn.XLOOKUP(orders[[#This Row],[Customer ID]],customers!$A$1:$A$1001,customers!$I$1:$I$1001)</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 = 0, "", 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24"/>
        <v>5.97</v>
      </c>
      <c r="N807" t="str" cm="1">
        <f t="array" ref="N807">_xlfn.IFS(I807 = "Rob", "Robusta", I807 = "Exc", "Excelsa", I807 = "Ara", "Arabica", I807 = "Lib", "Liberica")</f>
        <v>Robusta</v>
      </c>
      <c r="O807" t="str">
        <f t="shared" si="25"/>
        <v>Medium</v>
      </c>
      <c r="P807" t="str">
        <f>_xlfn.XLOOKUP(orders[[#This Row],[Customer ID]],customers!$A$1:$A$1001,customers!$I$1:$I$1001)</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 = 0, "", 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24"/>
        <v>7.77</v>
      </c>
      <c r="N808" t="str" cm="1">
        <f t="array" ref="N808">_xlfn.IFS(I808 = "Rob", "Robusta", I808 = "Exc", "Excelsa", I808 = "Ara", "Arabica", I808 = "Lib", "Liberica")</f>
        <v>Liberica</v>
      </c>
      <c r="O808" t="str">
        <f t="shared" si="25"/>
        <v>Dark</v>
      </c>
      <c r="P808" t="str">
        <f>_xlfn.XLOOKUP(orders[[#This Row],[Customer ID]],customers!$A$1:$A$1001,customers!$I$1:$I$1001)</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 = 0, "", 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24"/>
        <v>23.31</v>
      </c>
      <c r="N809" t="str" cm="1">
        <f t="array" ref="N809">_xlfn.IFS(I809 = "Rob", "Robusta", I809 = "Exc", "Excelsa", I809 = "Ara", "Arabica", I809 = "Lib", "Liberica")</f>
        <v>Liberica</v>
      </c>
      <c r="O809" t="str">
        <f t="shared" si="25"/>
        <v>Dark</v>
      </c>
      <c r="P809" t="str">
        <f>_xlfn.XLOOKUP(orders[[#This Row],[Customer ID]],customers!$A$1:$A$1001,customers!$I$1:$I$1001)</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 = 0, "", 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24"/>
        <v>137.42499999999998</v>
      </c>
      <c r="N810" t="str" cm="1">
        <f t="array" ref="N810">_xlfn.IFS(I810 = "Rob", "Robusta", I810 = "Exc", "Excelsa", I810 = "Ara", "Arabica", I810 = "Lib", "Liberica")</f>
        <v>Robusta</v>
      </c>
      <c r="O810" t="str">
        <f t="shared" si="25"/>
        <v>Light</v>
      </c>
      <c r="P810" t="str">
        <f>_xlfn.XLOOKUP(orders[[#This Row],[Customer ID]],customers!$A$1:$A$1001,customers!$I$1:$I$1001)</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 = 0, "", 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24"/>
        <v>8.0549999999999997</v>
      </c>
      <c r="N811" t="str" cm="1">
        <f t="array" ref="N811">_xlfn.IFS(I811 = "Rob", "Robusta", I811 = "Exc", "Excelsa", I811 = "Ara", "Arabica", I811 = "Lib", "Liberica")</f>
        <v>Robusta</v>
      </c>
      <c r="O811" t="str">
        <f t="shared" si="25"/>
        <v>Dark</v>
      </c>
      <c r="P811" t="str">
        <f>_xlfn.XLOOKUP(orders[[#This Row],[Customer ID]],customers!$A$1:$A$1001,customers!$I$1:$I$1001)</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 = 0, "", 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24"/>
        <v>28.53</v>
      </c>
      <c r="N812" t="str" cm="1">
        <f t="array" ref="N812">_xlfn.IFS(I812 = "Rob", "Robusta", I812 = "Exc", "Excelsa", I812 = "Ara", "Arabica", I812 = "Lib", "Liberica")</f>
        <v>Liberica</v>
      </c>
      <c r="O812" t="str">
        <f t="shared" si="25"/>
        <v>Light</v>
      </c>
      <c r="P812" t="str">
        <f>_xlfn.XLOOKUP(orders[[#This Row],[Customer ID]],customers!$A$1:$A$1001,customers!$I$1:$I$1001)</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 = 0, "", 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24"/>
        <v>67.5</v>
      </c>
      <c r="N813" t="str" cm="1">
        <f t="array" ref="N813">_xlfn.IFS(I813 = "Rob", "Robusta", I813 = "Exc", "Excelsa", I813 = "Ara", "Arabica", I813 = "Lib", "Liberica")</f>
        <v>Arabica</v>
      </c>
      <c r="O813" t="str">
        <f t="shared" si="25"/>
        <v>Medium</v>
      </c>
      <c r="P813" t="str">
        <f>_xlfn.XLOOKUP(orders[[#This Row],[Customer ID]],customers!$A$1:$A$1001,customers!$I$1:$I$1001)</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 = 0, "", 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24"/>
        <v>178.70999999999998</v>
      </c>
      <c r="N814" t="str" cm="1">
        <f t="array" ref="N814">_xlfn.IFS(I814 = "Rob", "Robusta", I814 = "Exc", "Excelsa", I814 = "Ara", "Arabica", I814 = "Lib", "Liberica")</f>
        <v>Liberica</v>
      </c>
      <c r="O814" t="str">
        <f t="shared" si="25"/>
        <v>Dark</v>
      </c>
      <c r="P814" t="str">
        <f>_xlfn.XLOOKUP(orders[[#This Row],[Customer ID]],customers!$A$1:$A$1001,customers!$I$1:$I$1001)</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 = 0, "", 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24"/>
        <v>31.624999999999996</v>
      </c>
      <c r="N815" t="str" cm="1">
        <f t="array" ref="N815">_xlfn.IFS(I815 = "Rob", "Robusta", I815 = "Exc", "Excelsa", I815 = "Ara", "Arabica", I815 = "Lib", "Liberica")</f>
        <v>Excelsa</v>
      </c>
      <c r="O815" t="str">
        <f t="shared" si="25"/>
        <v>Medium</v>
      </c>
      <c r="P815" t="str">
        <f>_xlfn.XLOOKUP(orders[[#This Row],[Customer ID]],customers!$A$1:$A$1001,customers!$I$1:$I$1001)</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 = 0, "", 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24"/>
        <v>8.91</v>
      </c>
      <c r="N816" t="str" cm="1">
        <f t="array" ref="N816">_xlfn.IFS(I816 = "Rob", "Robusta", I816 = "Exc", "Excelsa", I816 = "Ara", "Arabica", I816 = "Lib", "Liberica")</f>
        <v>Excelsa</v>
      </c>
      <c r="O816" t="str">
        <f t="shared" si="25"/>
        <v>Light</v>
      </c>
      <c r="P816" t="str">
        <f>_xlfn.XLOOKUP(orders[[#This Row],[Customer ID]],customers!$A$1:$A$1001,customers!$I$1:$I$1001)</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 = 0, "", 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24"/>
        <v>35.82</v>
      </c>
      <c r="N817" t="str" cm="1">
        <f t="array" ref="N817">_xlfn.IFS(I817 = "Rob", "Robusta", I817 = "Exc", "Excelsa", I817 = "Ara", "Arabica", I817 = "Lib", "Liberica")</f>
        <v>Robusta</v>
      </c>
      <c r="O817" t="str">
        <f t="shared" si="25"/>
        <v>Medium</v>
      </c>
      <c r="P817" t="str">
        <f>_xlfn.XLOOKUP(orders[[#This Row],[Customer ID]],customers!$A$1:$A$1001,customers!$I$1:$I$1001)</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 = 0, "", 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24"/>
        <v>38.04</v>
      </c>
      <c r="N818" t="str" cm="1">
        <f t="array" ref="N818">_xlfn.IFS(I818 = "Rob", "Robusta", I818 = "Exc", "Excelsa", I818 = "Ara", "Arabica", I818 = "Lib", "Liberica")</f>
        <v>Liberica</v>
      </c>
      <c r="O818" t="str">
        <f t="shared" si="25"/>
        <v>Light</v>
      </c>
      <c r="P818" t="str">
        <f>_xlfn.XLOOKUP(orders[[#This Row],[Customer ID]],customers!$A$1:$A$1001,customers!$I$1:$I$1001)</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 = 0, "", 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24"/>
        <v>15.54</v>
      </c>
      <c r="N819" t="str" cm="1">
        <f t="array" ref="N819">_xlfn.IFS(I819 = "Rob", "Robusta", I819 = "Exc", "Excelsa", I819 = "Ara", "Arabica", I819 = "Lib", "Liberica")</f>
        <v>Liberica</v>
      </c>
      <c r="O819" t="str">
        <f t="shared" si="25"/>
        <v>Dark</v>
      </c>
      <c r="P819" t="str">
        <f>_xlfn.XLOOKUP(orders[[#This Row],[Customer ID]],customers!$A$1:$A$1001,customers!$I$1:$I$1001)</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 = 0, "", 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24"/>
        <v>79.25</v>
      </c>
      <c r="N820" t="str" cm="1">
        <f t="array" ref="N820">_xlfn.IFS(I820 = "Rob", "Robusta", I820 = "Exc", "Excelsa", I820 = "Ara", "Arabica", I820 = "Lib", "Liberica")</f>
        <v>Liberica</v>
      </c>
      <c r="O820" t="str">
        <f t="shared" si="25"/>
        <v>Light</v>
      </c>
      <c r="P820" t="str">
        <f>_xlfn.XLOOKUP(orders[[#This Row],[Customer ID]],customers!$A$1:$A$1001,customers!$I$1:$I$1001)</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 = 0, "", 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24"/>
        <v>4.7549999999999999</v>
      </c>
      <c r="N821" t="str" cm="1">
        <f t="array" ref="N821">_xlfn.IFS(I821 = "Rob", "Robusta", I821 = "Exc", "Excelsa", I821 = "Ara", "Arabica", I821 = "Lib", "Liberica")</f>
        <v>Liberica</v>
      </c>
      <c r="O821" t="str">
        <f t="shared" si="25"/>
        <v>Light</v>
      </c>
      <c r="P821" t="str">
        <f>_xlfn.XLOOKUP(orders[[#This Row],[Customer ID]],customers!$A$1:$A$1001,customers!$I$1:$I$1001)</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 = 0, "", 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24"/>
        <v>55</v>
      </c>
      <c r="N822" t="str" cm="1">
        <f t="array" ref="N822">_xlfn.IFS(I822 = "Rob", "Robusta", I822 = "Exc", "Excelsa", I822 = "Ara", "Arabica", I822 = "Lib", "Liberica")</f>
        <v>Excelsa</v>
      </c>
      <c r="O822" t="str">
        <f t="shared" si="25"/>
        <v>Medium</v>
      </c>
      <c r="P822" t="str">
        <f>_xlfn.XLOOKUP(orders[[#This Row],[Customer ID]],customers!$A$1:$A$1001,customers!$I$1:$I$1001)</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 = 0, "", 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24"/>
        <v>26.849999999999994</v>
      </c>
      <c r="N823" t="str" cm="1">
        <f t="array" ref="N823">_xlfn.IFS(I823 = "Rob", "Robusta", I823 = "Exc", "Excelsa", I823 = "Ara", "Arabica", I823 = "Lib", "Liberica")</f>
        <v>Robusta</v>
      </c>
      <c r="O823" t="str">
        <f t="shared" si="25"/>
        <v>Dark</v>
      </c>
      <c r="P823" t="str">
        <f>_xlfn.XLOOKUP(orders[[#This Row],[Customer ID]],customers!$A$1:$A$1001,customers!$I$1:$I$1001)</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 = 0, "", 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24"/>
        <v>136.61999999999998</v>
      </c>
      <c r="N824" t="str" cm="1">
        <f t="array" ref="N824">_xlfn.IFS(I824 = "Rob", "Robusta", I824 = "Exc", "Excelsa", I824 = "Ara", "Arabica", I824 = "Lib", "Liberica")</f>
        <v>Excelsa</v>
      </c>
      <c r="O824" t="str">
        <f t="shared" si="25"/>
        <v>Light</v>
      </c>
      <c r="P824" t="str">
        <f>_xlfn.XLOOKUP(orders[[#This Row],[Customer ID]],customers!$A$1:$A$1001,customers!$I$1:$I$1001)</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 = 0, "", 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24"/>
        <v>47.55</v>
      </c>
      <c r="N825" t="str" cm="1">
        <f t="array" ref="N825">_xlfn.IFS(I825 = "Rob", "Robusta", I825 = "Exc", "Excelsa", I825 = "Ara", "Arabica", I825 = "Lib", "Liberica")</f>
        <v>Liberica</v>
      </c>
      <c r="O825" t="str">
        <f t="shared" si="25"/>
        <v>Light</v>
      </c>
      <c r="P825" t="str">
        <f>_xlfn.XLOOKUP(orders[[#This Row],[Customer ID]],customers!$A$1:$A$1001,customers!$I$1:$I$1001)</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 = 0, "", 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24"/>
        <v>16.875</v>
      </c>
      <c r="N826" t="str" cm="1">
        <f t="array" ref="N826">_xlfn.IFS(I826 = "Rob", "Robusta", I826 = "Exc", "Excelsa", I826 = "Ara", "Arabica", I826 = "Lib", "Liberica")</f>
        <v>Arabica</v>
      </c>
      <c r="O826" t="str">
        <f t="shared" si="25"/>
        <v>Medium</v>
      </c>
      <c r="P826" t="str">
        <f>_xlfn.XLOOKUP(orders[[#This Row],[Customer ID]],customers!$A$1:$A$1001,customers!$I$1:$I$1001)</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 = 0, "", 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24"/>
        <v>29.849999999999998</v>
      </c>
      <c r="N827" t="str" cm="1">
        <f t="array" ref="N827">_xlfn.IFS(I827 = "Rob", "Robusta", I827 = "Exc", "Excelsa", I827 = "Ara", "Arabica", I827 = "Lib", "Liberica")</f>
        <v>Arabica</v>
      </c>
      <c r="O827" t="str">
        <f t="shared" si="25"/>
        <v>Dark</v>
      </c>
      <c r="P827" t="str">
        <f>_xlfn.XLOOKUP(orders[[#This Row],[Customer ID]],customers!$A$1:$A$1001,customers!$I$1:$I$1001)</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 = 0, "", 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24"/>
        <v>41.25</v>
      </c>
      <c r="N828" t="str" cm="1">
        <f t="array" ref="N828">_xlfn.IFS(I828 = "Rob", "Robusta", I828 = "Exc", "Excelsa", I828 = "Ara", "Arabica", I828 = "Lib", "Liberica")</f>
        <v>Excelsa</v>
      </c>
      <c r="O828" t="str">
        <f t="shared" si="25"/>
        <v>Medium</v>
      </c>
      <c r="P828" t="str">
        <f>_xlfn.XLOOKUP(orders[[#This Row],[Customer ID]],customers!$A$1:$A$1001,customers!$I$1:$I$1001)</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 = 0, "", 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24"/>
        <v>20.625</v>
      </c>
      <c r="N829" t="str" cm="1">
        <f t="array" ref="N829">_xlfn.IFS(I829 = "Rob", "Robusta", I829 = "Exc", "Excelsa", I829 = "Ara", "Arabica", I829 = "Lib", "Liberica")</f>
        <v>Excelsa</v>
      </c>
      <c r="O829" t="str">
        <f t="shared" si="25"/>
        <v>Medium</v>
      </c>
      <c r="P829" t="str">
        <f>_xlfn.XLOOKUP(orders[[#This Row],[Customer ID]],customers!$A$1:$A$1001,customers!$I$1:$I$1001)</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 = 0, "", 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24"/>
        <v>137.31</v>
      </c>
      <c r="N830" t="str" cm="1">
        <f t="array" ref="N830">_xlfn.IFS(I830 = "Rob", "Robusta", I830 = "Exc", "Excelsa", I830 = "Ara", "Arabica", I830 = "Lib", "Liberica")</f>
        <v>Arabica</v>
      </c>
      <c r="O830" t="str">
        <f t="shared" si="25"/>
        <v>Dark</v>
      </c>
      <c r="P830" t="str">
        <f>_xlfn.XLOOKUP(orders[[#This Row],[Customer ID]],customers!$A$1:$A$1001,customers!$I$1:$I$1001)</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 = 0, "", 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24"/>
        <v>2.9849999999999999</v>
      </c>
      <c r="N831" t="str" cm="1">
        <f t="array" ref="N831">_xlfn.IFS(I831 = "Rob", "Robusta", I831 = "Exc", "Excelsa", I831 = "Ara", "Arabica", I831 = "Lib", "Liberica")</f>
        <v>Arabica</v>
      </c>
      <c r="O831" t="str">
        <f t="shared" si="25"/>
        <v>Dark</v>
      </c>
      <c r="P831" t="str">
        <f>_xlfn.XLOOKUP(orders[[#This Row],[Customer ID]],customers!$A$1:$A$1001,customers!$I$1:$I$1001)</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 = 0, "", 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24"/>
        <v>27.5</v>
      </c>
      <c r="N832" t="str" cm="1">
        <f t="array" ref="N832">_xlfn.IFS(I832 = "Rob", "Robusta", I832 = "Exc", "Excelsa", I832 = "Ara", "Arabica", I832 = "Lib", "Liberica")</f>
        <v>Excelsa</v>
      </c>
      <c r="O832" t="str">
        <f t="shared" si="25"/>
        <v>Medium</v>
      </c>
      <c r="P832" t="str">
        <f>_xlfn.XLOOKUP(orders[[#This Row],[Customer ID]],customers!$A$1:$A$1001,customers!$I$1:$I$1001)</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 = 0, "", 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24"/>
        <v>5.97</v>
      </c>
      <c r="N833" t="str" cm="1">
        <f t="array" ref="N833">_xlfn.IFS(I833 = "Rob", "Robusta", I833 = "Exc", "Excelsa", I833 = "Ara", "Arabica", I833 = "Lib", "Liberica")</f>
        <v>Arabica</v>
      </c>
      <c r="O833" t="str">
        <f t="shared" si="25"/>
        <v>Dark</v>
      </c>
      <c r="P833" t="str">
        <f>_xlfn.XLOOKUP(orders[[#This Row],[Customer ID]],customers!$A$1:$A$1001,customers!$I$1:$I$1001)</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 = 0, "", 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24"/>
        <v>59.699999999999996</v>
      </c>
      <c r="N834" t="str" cm="1">
        <f t="array" ref="N834">_xlfn.IFS(I834 = "Rob", "Robusta", I834 = "Exc", "Excelsa", I834 = "Ara", "Arabica", I834 = "Lib", "Liberica")</f>
        <v>Robusta</v>
      </c>
      <c r="O834" t="str">
        <f t="shared" si="25"/>
        <v>Medium</v>
      </c>
      <c r="P834" t="str">
        <f>_xlfn.XLOOKUP(orders[[#This Row],[Customer ID]],customers!$A$1:$A$1001,customers!$I$1:$I$1001)</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 = 0, "", 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26">SUM(L835*E835)</f>
        <v>82.339999999999989</v>
      </c>
      <c r="N835" t="str" cm="1">
        <f t="array" ref="N835">_xlfn.IFS(I835 = "Rob", "Robusta", I835 = "Exc", "Excelsa", I835 = "Ara", "Arabica", I835 = "Lib", "Liberica")</f>
        <v>Robusta</v>
      </c>
      <c r="O835" t="str">
        <f t="shared" ref="O835:O898" si="27">IF(J835 = "M", "Medium", IF(J835= "L", "Light",IF( J835 = "D", "Dark")))</f>
        <v>Dark</v>
      </c>
      <c r="P835" t="str">
        <f>_xlfn.XLOOKUP(orders[[#This Row],[Customer ID]],customers!$A$1:$A$1001,customers!$I$1:$I$1001)</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 = 0, "", 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26"/>
        <v>22.884999999999998</v>
      </c>
      <c r="N836" t="str" cm="1">
        <f t="array" ref="N836">_xlfn.IFS(I836 = "Rob", "Robusta", I836 = "Exc", "Excelsa", I836 = "Ara", "Arabica", I836 = "Lib", "Liberica")</f>
        <v>Arabica</v>
      </c>
      <c r="O836" t="str">
        <f t="shared" si="27"/>
        <v>Dark</v>
      </c>
      <c r="P836" t="str">
        <f>_xlfn.XLOOKUP(orders[[#This Row],[Customer ID]],customers!$A$1:$A$1001,customers!$I$1:$I$1001)</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 = 0, "", 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26"/>
        <v>8.91</v>
      </c>
      <c r="N837" t="str" cm="1">
        <f t="array" ref="N837">_xlfn.IFS(I837 = "Rob", "Robusta", I837 = "Exc", "Excelsa", I837 = "Ara", "Arabica", I837 = "Lib", "Liberica")</f>
        <v>Excelsa</v>
      </c>
      <c r="O837" t="str">
        <f t="shared" si="27"/>
        <v>Light</v>
      </c>
      <c r="P837" t="str">
        <f>_xlfn.XLOOKUP(orders[[#This Row],[Customer ID]],customers!$A$1:$A$1001,customers!$I$1:$I$1001)</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 = 0, "", 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26"/>
        <v>11.94</v>
      </c>
      <c r="N838" t="str" cm="1">
        <f t="array" ref="N838">_xlfn.IFS(I838 = "Rob", "Robusta", I838 = "Exc", "Excelsa", I838 = "Ara", "Arabica", I838 = "Lib", "Liberica")</f>
        <v>Arabica</v>
      </c>
      <c r="O838" t="str">
        <f t="shared" si="27"/>
        <v>Dark</v>
      </c>
      <c r="P838" t="str">
        <f>_xlfn.XLOOKUP(orders[[#This Row],[Customer ID]],customers!$A$1:$A$1001,customers!$I$1:$I$1001)</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 = 0, "", 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26"/>
        <v>100.39499999999998</v>
      </c>
      <c r="N839" t="str" cm="1">
        <f t="array" ref="N839">_xlfn.IFS(I839 = "Rob", "Robusta", I839 = "Exc", "Excelsa", I839 = "Ara", "Arabica", I839 = "Lib", "Liberica")</f>
        <v>Liberica</v>
      </c>
      <c r="O839" t="str">
        <f t="shared" si="27"/>
        <v>Medium</v>
      </c>
      <c r="P839" t="str">
        <f>_xlfn.XLOOKUP(orders[[#This Row],[Customer ID]],customers!$A$1:$A$1001,customers!$I$1:$I$1001)</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 = 0, "", 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26"/>
        <v>114.42499999999998</v>
      </c>
      <c r="N840" t="str" cm="1">
        <f t="array" ref="N840">_xlfn.IFS(I840 = "Rob", "Robusta", I840 = "Exc", "Excelsa", I840 = "Ara", "Arabica", I840 = "Lib", "Liberica")</f>
        <v>Arabica</v>
      </c>
      <c r="O840" t="str">
        <f t="shared" si="27"/>
        <v>Dark</v>
      </c>
      <c r="P840" t="str">
        <f>_xlfn.XLOOKUP(orders[[#This Row],[Customer ID]],customers!$A$1:$A$1001,customers!$I$1:$I$1001)</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 = 0, "", 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26"/>
        <v>41.25</v>
      </c>
      <c r="N841" t="str" cm="1">
        <f t="array" ref="N841">_xlfn.IFS(I841 = "Rob", "Robusta", I841 = "Exc", "Excelsa", I841 = "Ara", "Arabica", I841 = "Lib", "Liberica")</f>
        <v>Excelsa</v>
      </c>
      <c r="O841" t="str">
        <f t="shared" si="27"/>
        <v>Medium</v>
      </c>
      <c r="P841" t="str">
        <f>_xlfn.XLOOKUP(orders[[#This Row],[Customer ID]],customers!$A$1:$A$1001,customers!$I$1:$I$1001)</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 = 0, "", 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26"/>
        <v>28.679999999999996</v>
      </c>
      <c r="N842" t="str" cm="1">
        <f t="array" ref="N842">_xlfn.IFS(I842 = "Rob", "Robusta", I842 = "Exc", "Excelsa", I842 = "Ara", "Arabica", I842 = "Lib", "Liberica")</f>
        <v>Robusta</v>
      </c>
      <c r="O842" t="str">
        <f t="shared" si="27"/>
        <v>Light</v>
      </c>
      <c r="P842" t="str">
        <f>_xlfn.XLOOKUP(orders[[#This Row],[Customer ID]],customers!$A$1:$A$1001,customers!$I$1:$I$1001)</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 = 0, "", 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26"/>
        <v>4.3650000000000002</v>
      </c>
      <c r="N843" t="str" cm="1">
        <f t="array" ref="N843">_xlfn.IFS(I843 = "Rob", "Robusta", I843 = "Exc", "Excelsa", I843 = "Ara", "Arabica", I843 = "Lib", "Liberica")</f>
        <v>Liberica</v>
      </c>
      <c r="O843" t="str">
        <f t="shared" si="27"/>
        <v>Medium</v>
      </c>
      <c r="P843" t="str">
        <f>_xlfn.XLOOKUP(orders[[#This Row],[Customer ID]],customers!$A$1:$A$1001,customers!$I$1:$I$1001)</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 = 0, "", 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26"/>
        <v>8.25</v>
      </c>
      <c r="N844" t="str" cm="1">
        <f t="array" ref="N844">_xlfn.IFS(I844 = "Rob", "Robusta", I844 = "Exc", "Excelsa", I844 = "Ara", "Arabica", I844 = "Lib", "Liberica")</f>
        <v>Excelsa</v>
      </c>
      <c r="O844" t="str">
        <f t="shared" si="27"/>
        <v>Medium</v>
      </c>
      <c r="P844" t="str">
        <f>_xlfn.XLOOKUP(orders[[#This Row],[Customer ID]],customers!$A$1:$A$1001,customers!$I$1:$I$1001)</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 = 0, "", 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26"/>
        <v>8.25</v>
      </c>
      <c r="N845" t="str" cm="1">
        <f t="array" ref="N845">_xlfn.IFS(I845 = "Rob", "Robusta", I845 = "Exc", "Excelsa", I845 = "Ara", "Arabica", I845 = "Lib", "Liberica")</f>
        <v>Excelsa</v>
      </c>
      <c r="O845" t="str">
        <f t="shared" si="27"/>
        <v>Medium</v>
      </c>
      <c r="P845" t="str">
        <f>_xlfn.XLOOKUP(orders[[#This Row],[Customer ID]],customers!$A$1:$A$1001,customers!$I$1:$I$1001)</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 = 0, "", 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26"/>
        <v>35.82</v>
      </c>
      <c r="N846" t="str" cm="1">
        <f t="array" ref="N846">_xlfn.IFS(I846 = "Rob", "Robusta", I846 = "Exc", "Excelsa", I846 = "Ara", "Arabica", I846 = "Lib", "Liberica")</f>
        <v>Arabica</v>
      </c>
      <c r="O846" t="str">
        <f t="shared" si="27"/>
        <v>Dark</v>
      </c>
      <c r="P846" t="str">
        <f>_xlfn.XLOOKUP(orders[[#This Row],[Customer ID]],customers!$A$1:$A$1001,customers!$I$1:$I$1001)</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 = 0, "", 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26"/>
        <v>167.67000000000002</v>
      </c>
      <c r="N847" t="str" cm="1">
        <f t="array" ref="N847">_xlfn.IFS(I847 = "Rob", "Robusta", I847 = "Exc", "Excelsa", I847 = "Ara", "Arabica", I847 = "Lib", "Liberica")</f>
        <v>Excelsa</v>
      </c>
      <c r="O847" t="str">
        <f t="shared" si="27"/>
        <v>Dark</v>
      </c>
      <c r="P847" t="str">
        <f>_xlfn.XLOOKUP(orders[[#This Row],[Customer ID]],customers!$A$1:$A$1001,customers!$I$1:$I$1001)</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 = 0, "", 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26"/>
        <v>51.749999999999993</v>
      </c>
      <c r="N848" t="str" cm="1">
        <f t="array" ref="N848">_xlfn.IFS(I848 = "Rob", "Robusta", I848 = "Exc", "Excelsa", I848 = "Ara", "Arabica", I848 = "Lib", "Liberica")</f>
        <v>Arabica</v>
      </c>
      <c r="O848" t="str">
        <f t="shared" si="27"/>
        <v>Medium</v>
      </c>
      <c r="P848" t="str">
        <f>_xlfn.XLOOKUP(orders[[#This Row],[Customer ID]],customers!$A$1:$A$1001,customers!$I$1:$I$1001)</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 = 0, "", 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26"/>
        <v>8.9550000000000001</v>
      </c>
      <c r="N849" t="str" cm="1">
        <f t="array" ref="N849">_xlfn.IFS(I849 = "Rob", "Robusta", I849 = "Exc", "Excelsa", I849 = "Ara", "Arabica", I849 = "Lib", "Liberica")</f>
        <v>Arabica</v>
      </c>
      <c r="O849" t="str">
        <f t="shared" si="27"/>
        <v>Dark</v>
      </c>
      <c r="P849" t="str">
        <f>_xlfn.XLOOKUP(orders[[#This Row],[Customer ID]],customers!$A$1:$A$1001,customers!$I$1:$I$1001)</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 = 0, "", 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26"/>
        <v>53.46</v>
      </c>
      <c r="N850" t="str" cm="1">
        <f t="array" ref="N850">_xlfn.IFS(I850 = "Rob", "Robusta", I850 = "Exc", "Excelsa", I850 = "Ara", "Arabica", I850 = "Lib", "Liberica")</f>
        <v>Excelsa</v>
      </c>
      <c r="O850" t="str">
        <f t="shared" si="27"/>
        <v>Light</v>
      </c>
      <c r="P850" t="str">
        <f>_xlfn.XLOOKUP(orders[[#This Row],[Customer ID]],customers!$A$1:$A$1001,customers!$I$1:$I$1001)</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 = 0, "", 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26"/>
        <v>23.31</v>
      </c>
      <c r="N851" t="str" cm="1">
        <f t="array" ref="N851">_xlfn.IFS(I851 = "Rob", "Robusta", I851 = "Exc", "Excelsa", I851 = "Ara", "Arabica", I851 = "Lib", "Liberica")</f>
        <v>Arabica</v>
      </c>
      <c r="O851" t="str">
        <f t="shared" si="27"/>
        <v>Light</v>
      </c>
      <c r="P851" t="str">
        <f>_xlfn.XLOOKUP(orders[[#This Row],[Customer ID]],customers!$A$1:$A$1001,customers!$I$1:$I$1001)</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 = 0, "", 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26"/>
        <v>6.75</v>
      </c>
      <c r="N852" t="str" cm="1">
        <f t="array" ref="N852">_xlfn.IFS(I852 = "Rob", "Robusta", I852 = "Exc", "Excelsa", I852 = "Ara", "Arabica", I852 = "Lib", "Liberica")</f>
        <v>Arabica</v>
      </c>
      <c r="O852" t="str">
        <f t="shared" si="27"/>
        <v>Medium</v>
      </c>
      <c r="P852" t="str">
        <f>_xlfn.XLOOKUP(orders[[#This Row],[Customer ID]],customers!$A$1:$A$1001,customers!$I$1:$I$1001)</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 = 0, "", 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26"/>
        <v>7.77</v>
      </c>
      <c r="N853" t="str" cm="1">
        <f t="array" ref="N853">_xlfn.IFS(I853 = "Rob", "Robusta", I853 = "Exc", "Excelsa", I853 = "Ara", "Arabica", I853 = "Lib", "Liberica")</f>
        <v>Liberica</v>
      </c>
      <c r="O853" t="str">
        <f t="shared" si="27"/>
        <v>Dark</v>
      </c>
      <c r="P853" t="str">
        <f>_xlfn.XLOOKUP(orders[[#This Row],[Customer ID]],customers!$A$1:$A$1001,customers!$I$1:$I$1001)</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 = 0, "", 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26"/>
        <v>119.13999999999999</v>
      </c>
      <c r="N854" t="str" cm="1">
        <f t="array" ref="N854">_xlfn.IFS(I854 = "Rob", "Robusta", I854 = "Exc", "Excelsa", I854 = "Ara", "Arabica", I854 = "Lib", "Liberica")</f>
        <v>Liberica</v>
      </c>
      <c r="O854" t="str">
        <f t="shared" si="27"/>
        <v>Dark</v>
      </c>
      <c r="P854" t="str">
        <f>_xlfn.XLOOKUP(orders[[#This Row],[Customer ID]],customers!$A$1:$A$1001,customers!$I$1:$I$1001)</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 = 0, "", 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26"/>
        <v>19.899999999999999</v>
      </c>
      <c r="N855" t="str" cm="1">
        <f t="array" ref="N855">_xlfn.IFS(I855 = "Rob", "Robusta", I855 = "Exc", "Excelsa", I855 = "Ara", "Arabica", I855 = "Lib", "Liberica")</f>
        <v>Arabica</v>
      </c>
      <c r="O855" t="str">
        <f t="shared" si="27"/>
        <v>Dark</v>
      </c>
      <c r="P855" t="str">
        <f>_xlfn.XLOOKUP(orders[[#This Row],[Customer ID]],customers!$A$1:$A$1001,customers!$I$1:$I$1001)</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 = 0, "", 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26"/>
        <v>35.849999999999994</v>
      </c>
      <c r="N856" t="str" cm="1">
        <f t="array" ref="N856">_xlfn.IFS(I856 = "Rob", "Robusta", I856 = "Exc", "Excelsa", I856 = "Ara", "Arabica", I856 = "Lib", "Liberica")</f>
        <v>Robusta</v>
      </c>
      <c r="O856" t="str">
        <f t="shared" si="27"/>
        <v>Light</v>
      </c>
      <c r="P856" t="str">
        <f>_xlfn.XLOOKUP(orders[[#This Row],[Customer ID]],customers!$A$1:$A$1001,customers!$I$1:$I$1001)</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 = 0, "", 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26"/>
        <v>89.35499999999999</v>
      </c>
      <c r="N857" t="str" cm="1">
        <f t="array" ref="N857">_xlfn.IFS(I857 = "Rob", "Robusta", I857 = "Exc", "Excelsa", I857 = "Ara", "Arabica", I857 = "Lib", "Liberica")</f>
        <v>Liberica</v>
      </c>
      <c r="O857" t="str">
        <f t="shared" si="27"/>
        <v>Dark</v>
      </c>
      <c r="P857" t="str">
        <f>_xlfn.XLOOKUP(orders[[#This Row],[Customer ID]],customers!$A$1:$A$1001,customers!$I$1:$I$1001)</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 = 0, "", 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26"/>
        <v>8.73</v>
      </c>
      <c r="N858" t="str" cm="1">
        <f t="array" ref="N858">_xlfn.IFS(I858 = "Rob", "Robusta", I858 = "Exc", "Excelsa", I858 = "Ara", "Arabica", I858 = "Lib", "Liberica")</f>
        <v>Liberica</v>
      </c>
      <c r="O858" t="str">
        <f t="shared" si="27"/>
        <v>Medium</v>
      </c>
      <c r="P858" t="str">
        <f>_xlfn.XLOOKUP(orders[[#This Row],[Customer ID]],customers!$A$1:$A$1001,customers!$I$1:$I$1001)</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 = 0, "", 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26"/>
        <v>137.42499999999998</v>
      </c>
      <c r="N859" t="str" cm="1">
        <f t="array" ref="N859">_xlfn.IFS(I859 = "Rob", "Robusta", I859 = "Exc", "Excelsa", I859 = "Ara", "Arabica", I859 = "Lib", "Liberica")</f>
        <v>Robusta</v>
      </c>
      <c r="O859" t="str">
        <f t="shared" si="27"/>
        <v>Light</v>
      </c>
      <c r="P859" t="str">
        <f>_xlfn.XLOOKUP(orders[[#This Row],[Customer ID]],customers!$A$1:$A$1001,customers!$I$1:$I$1001)</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 = 0, "", 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26"/>
        <v>34.92</v>
      </c>
      <c r="N860" t="str" cm="1">
        <f t="array" ref="N860">_xlfn.IFS(I860 = "Rob", "Robusta", I860 = "Exc", "Excelsa", I860 = "Ara", "Arabica", I860 = "Lib", "Liberica")</f>
        <v>Liberica</v>
      </c>
      <c r="O860" t="str">
        <f t="shared" si="27"/>
        <v>Medium</v>
      </c>
      <c r="P860" t="str">
        <f>_xlfn.XLOOKUP(orders[[#This Row],[Customer ID]],customers!$A$1:$A$1001,customers!$I$1:$I$1001)</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 = 0, "", 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26"/>
        <v>178.70999999999998</v>
      </c>
      <c r="N861" t="str" cm="1">
        <f t="array" ref="N861">_xlfn.IFS(I861 = "Rob", "Robusta", I861 = "Exc", "Excelsa", I861 = "Ara", "Arabica", I861 = "Lib", "Liberica")</f>
        <v>Arabica</v>
      </c>
      <c r="O861" t="str">
        <f t="shared" si="27"/>
        <v>Light</v>
      </c>
      <c r="P861" t="str">
        <f>_xlfn.XLOOKUP(orders[[#This Row],[Customer ID]],customers!$A$1:$A$1001,customers!$I$1:$I$1001)</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 = 0, "", 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26"/>
        <v>25.874999999999996</v>
      </c>
      <c r="N862" t="str" cm="1">
        <f t="array" ref="N862">_xlfn.IFS(I862 = "Rob", "Robusta", I862 = "Exc", "Excelsa", I862 = "Ara", "Arabica", I862 = "Lib", "Liberica")</f>
        <v>Arabica</v>
      </c>
      <c r="O862" t="str">
        <f t="shared" si="27"/>
        <v>Medium</v>
      </c>
      <c r="P862" t="str">
        <f>_xlfn.XLOOKUP(orders[[#This Row],[Customer ID]],customers!$A$1:$A$1001,customers!$I$1:$I$1001)</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 = 0, "", 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26"/>
        <v>77.699999999999989</v>
      </c>
      <c r="N863" t="str" cm="1">
        <f t="array" ref="N863">_xlfn.IFS(I863 = "Rob", "Robusta", I863 = "Exc", "Excelsa", I863 = "Ara", "Arabica", I863 = "Lib", "Liberica")</f>
        <v>Liberica</v>
      </c>
      <c r="O863" t="str">
        <f t="shared" si="27"/>
        <v>Dark</v>
      </c>
      <c r="P863" t="str">
        <f>_xlfn.XLOOKUP(orders[[#This Row],[Customer ID]],customers!$A$1:$A$1001,customers!$I$1:$I$1001)</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 = 0, "", 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26"/>
        <v>9.9499999999999993</v>
      </c>
      <c r="N864" t="str" cm="1">
        <f t="array" ref="N864">_xlfn.IFS(I864 = "Rob", "Robusta", I864 = "Exc", "Excelsa", I864 = "Ara", "Arabica", I864 = "Lib", "Liberica")</f>
        <v>Robusta</v>
      </c>
      <c r="O864" t="str">
        <f t="shared" si="27"/>
        <v>Medium</v>
      </c>
      <c r="P864" t="str">
        <f>_xlfn.XLOOKUP(orders[[#This Row],[Customer ID]],customers!$A$1:$A$1001,customers!$I$1:$I$1001)</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 = 0, "", 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26"/>
        <v>29.1</v>
      </c>
      <c r="N865" t="str" cm="1">
        <f t="array" ref="N865">_xlfn.IFS(I865 = "Rob", "Robusta", I865 = "Exc", "Excelsa", I865 = "Ara", "Arabica", I865 = "Lib", "Liberica")</f>
        <v>Liberica</v>
      </c>
      <c r="O865" t="str">
        <f t="shared" si="27"/>
        <v>Medium</v>
      </c>
      <c r="P865" t="str">
        <f>_xlfn.XLOOKUP(orders[[#This Row],[Customer ID]],customers!$A$1:$A$1001,customers!$I$1:$I$1001)</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 = 0, "", 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26"/>
        <v>21.509999999999998</v>
      </c>
      <c r="N866" t="str" cm="1">
        <f t="array" ref="N866">_xlfn.IFS(I866 = "Rob", "Robusta", I866 = "Exc", "Excelsa", I866 = "Ara", "Arabica", I866 = "Lib", "Liberica")</f>
        <v>Robusta</v>
      </c>
      <c r="O866" t="str">
        <f t="shared" si="27"/>
        <v>Light</v>
      </c>
      <c r="P866" t="str">
        <f>_xlfn.XLOOKUP(orders[[#This Row],[Customer ID]],customers!$A$1:$A$1001,customers!$I$1:$I$1001)</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 = 0, "", 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26"/>
        <v>6.75</v>
      </c>
      <c r="N867" t="str" cm="1">
        <f t="array" ref="N867">_xlfn.IFS(I867 = "Rob", "Robusta", I867 = "Exc", "Excelsa", I867 = "Ara", "Arabica", I867 = "Lib", "Liberica")</f>
        <v>Arabica</v>
      </c>
      <c r="O867" t="str">
        <f t="shared" si="27"/>
        <v>Medium</v>
      </c>
      <c r="P867" t="str">
        <f>_xlfn.XLOOKUP(orders[[#This Row],[Customer ID]],customers!$A$1:$A$1001,customers!$I$1:$I$1001)</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 = 0, "", 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26"/>
        <v>17.91</v>
      </c>
      <c r="N868" t="str" cm="1">
        <f t="array" ref="N868">_xlfn.IFS(I868 = "Rob", "Robusta", I868 = "Exc", "Excelsa", I868 = "Ara", "Arabica", I868 = "Lib", "Liberica")</f>
        <v>Arabica</v>
      </c>
      <c r="O868" t="str">
        <f t="shared" si="27"/>
        <v>Dark</v>
      </c>
      <c r="P868" t="str">
        <f>_xlfn.XLOOKUP(orders[[#This Row],[Customer ID]],customers!$A$1:$A$1001,customers!$I$1:$I$1001)</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 = 0, "", 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26"/>
        <v>29.784999999999997</v>
      </c>
      <c r="N869" t="str" cm="1">
        <f t="array" ref="N869">_xlfn.IFS(I869 = "Rob", "Robusta", I869 = "Exc", "Excelsa", I869 = "Ara", "Arabica", I869 = "Lib", "Liberica")</f>
        <v>Arabica</v>
      </c>
      <c r="O869" t="str">
        <f t="shared" si="27"/>
        <v>Light</v>
      </c>
      <c r="P869" t="str">
        <f>_xlfn.XLOOKUP(orders[[#This Row],[Customer ID]],customers!$A$1:$A$1001,customers!$I$1:$I$1001)</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 = 0, "", 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26"/>
        <v>41.25</v>
      </c>
      <c r="N870" t="str" cm="1">
        <f t="array" ref="N870">_xlfn.IFS(I870 = "Rob", "Robusta", I870 = "Exc", "Excelsa", I870 = "Ara", "Arabica", I870 = "Lib", "Liberica")</f>
        <v>Excelsa</v>
      </c>
      <c r="O870" t="str">
        <f t="shared" si="27"/>
        <v>Medium</v>
      </c>
      <c r="P870" t="str">
        <f>_xlfn.XLOOKUP(orders[[#This Row],[Customer ID]],customers!$A$1:$A$1001,customers!$I$1:$I$1001)</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 = 0, "", 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26"/>
        <v>17.91</v>
      </c>
      <c r="N871" t="str" cm="1">
        <f t="array" ref="N871">_xlfn.IFS(I871 = "Rob", "Robusta", I871 = "Exc", "Excelsa", I871 = "Ara", "Arabica", I871 = "Lib", "Liberica")</f>
        <v>Robusta</v>
      </c>
      <c r="O871" t="str">
        <f t="shared" si="27"/>
        <v>Medium</v>
      </c>
      <c r="P871" t="str">
        <f>_xlfn.XLOOKUP(orders[[#This Row],[Customer ID]],customers!$A$1:$A$1001,customers!$I$1:$I$1001)</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 = 0, "", 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26"/>
        <v>7.29</v>
      </c>
      <c r="N872" t="str" cm="1">
        <f t="array" ref="N872">_xlfn.IFS(I872 = "Rob", "Robusta", I872 = "Exc", "Excelsa", I872 = "Ara", "Arabica", I872 = "Lib", "Liberica")</f>
        <v>Excelsa</v>
      </c>
      <c r="O872" t="str">
        <f t="shared" si="27"/>
        <v>Dark</v>
      </c>
      <c r="P872" t="str">
        <f>_xlfn.XLOOKUP(orders[[#This Row],[Customer ID]],customers!$A$1:$A$1001,customers!$I$1:$I$1001)</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 = 0, "", 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26"/>
        <v>29.7</v>
      </c>
      <c r="N873" t="str" cm="1">
        <f t="array" ref="N873">_xlfn.IFS(I873 = "Rob", "Robusta", I873 = "Exc", "Excelsa", I873 = "Ara", "Arabica", I873 = "Lib", "Liberica")</f>
        <v>Excelsa</v>
      </c>
      <c r="O873" t="str">
        <f t="shared" si="27"/>
        <v>Light</v>
      </c>
      <c r="P873" t="str">
        <f>_xlfn.XLOOKUP(orders[[#This Row],[Customer ID]],customers!$A$1:$A$1001,customers!$I$1:$I$1001)</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 = 0, "", 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26"/>
        <v>22.5</v>
      </c>
      <c r="N874" t="str" cm="1">
        <f t="array" ref="N874">_xlfn.IFS(I874 = "Rob", "Robusta", I874 = "Exc", "Excelsa", I874 = "Ara", "Arabica", I874 = "Lib", "Liberica")</f>
        <v>Arabica</v>
      </c>
      <c r="O874" t="str">
        <f t="shared" si="27"/>
        <v>Medium</v>
      </c>
      <c r="P874" t="str">
        <f>_xlfn.XLOOKUP(orders[[#This Row],[Customer ID]],customers!$A$1:$A$1001,customers!$I$1:$I$1001)</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 = 0, "", 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26"/>
        <v>11.94</v>
      </c>
      <c r="N875" t="str" cm="1">
        <f t="array" ref="N875">_xlfn.IFS(I875 = "Rob", "Robusta", I875 = "Exc", "Excelsa", I875 = "Ara", "Arabica", I875 = "Lib", "Liberica")</f>
        <v>Robusta</v>
      </c>
      <c r="O875" t="str">
        <f t="shared" si="27"/>
        <v>Medium</v>
      </c>
      <c r="P875" t="str">
        <f>_xlfn.XLOOKUP(orders[[#This Row],[Customer ID]],customers!$A$1:$A$1001,customers!$I$1:$I$1001)</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 = 0, "", 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26"/>
        <v>25.9</v>
      </c>
      <c r="N876" t="str" cm="1">
        <f t="array" ref="N876">_xlfn.IFS(I876 = "Rob", "Robusta", I876 = "Exc", "Excelsa", I876 = "Ara", "Arabica", I876 = "Lib", "Liberica")</f>
        <v>Arabica</v>
      </c>
      <c r="O876" t="str">
        <f t="shared" si="27"/>
        <v>Light</v>
      </c>
      <c r="P876" t="str">
        <f>_xlfn.XLOOKUP(orders[[#This Row],[Customer ID]],customers!$A$1:$A$1001,customers!$I$1:$I$1001)</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 = 0, "", 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26"/>
        <v>43.650000000000006</v>
      </c>
      <c r="N877" t="str" cm="1">
        <f t="array" ref="N877">_xlfn.IFS(I877 = "Rob", "Robusta", I877 = "Exc", "Excelsa", I877 = "Ara", "Arabica", I877 = "Lib", "Liberica")</f>
        <v>Liberica</v>
      </c>
      <c r="O877" t="str">
        <f t="shared" si="27"/>
        <v>Medium</v>
      </c>
      <c r="P877" t="str">
        <f>_xlfn.XLOOKUP(orders[[#This Row],[Customer ID]],customers!$A$1:$A$1001,customers!$I$1:$I$1001)</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 = 0, "", 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26"/>
        <v>46.62</v>
      </c>
      <c r="N878" t="str" cm="1">
        <f t="array" ref="N878">_xlfn.IFS(I878 = "Rob", "Robusta", I878 = "Exc", "Excelsa", I878 = "Ara", "Arabica", I878 = "Lib", "Liberica")</f>
        <v>Arabica</v>
      </c>
      <c r="O878" t="str">
        <f t="shared" si="27"/>
        <v>Light</v>
      </c>
      <c r="P878" t="str">
        <f>_xlfn.XLOOKUP(orders[[#This Row],[Customer ID]],customers!$A$1:$A$1001,customers!$I$1:$I$1001)</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 = 0, "", 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26"/>
        <v>28.53</v>
      </c>
      <c r="N879" t="str" cm="1">
        <f t="array" ref="N879">_xlfn.IFS(I879 = "Rob", "Robusta", I879 = "Exc", "Excelsa", I879 = "Ara", "Arabica", I879 = "Lib", "Liberica")</f>
        <v>Liberica</v>
      </c>
      <c r="O879" t="str">
        <f t="shared" si="27"/>
        <v>Light</v>
      </c>
      <c r="P879" t="str">
        <f>_xlfn.XLOOKUP(orders[[#This Row],[Customer ID]],customers!$A$1:$A$1001,customers!$I$1:$I$1001)</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 = 0, "", 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26"/>
        <v>27.484999999999996</v>
      </c>
      <c r="N880" t="str" cm="1">
        <f t="array" ref="N880">_xlfn.IFS(I880 = "Rob", "Robusta", I880 = "Exc", "Excelsa", I880 = "Ara", "Arabica", I880 = "Lib", "Liberica")</f>
        <v>Robusta</v>
      </c>
      <c r="O880" t="str">
        <f t="shared" si="27"/>
        <v>Light</v>
      </c>
      <c r="P880" t="str">
        <f>_xlfn.XLOOKUP(orders[[#This Row],[Customer ID]],customers!$A$1:$A$1001,customers!$I$1:$I$1001)</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 = 0, "", 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26"/>
        <v>10.935</v>
      </c>
      <c r="N881" t="str" cm="1">
        <f t="array" ref="N881">_xlfn.IFS(I881 = "Rob", "Robusta", I881 = "Exc", "Excelsa", I881 = "Ara", "Arabica", I881 = "Lib", "Liberica")</f>
        <v>Excelsa</v>
      </c>
      <c r="O881" t="str">
        <f t="shared" si="27"/>
        <v>Dark</v>
      </c>
      <c r="P881" t="str">
        <f>_xlfn.XLOOKUP(orders[[#This Row],[Customer ID]],customers!$A$1:$A$1001,customers!$I$1:$I$1001)</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 = 0, "", 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26"/>
        <v>7.169999999999999</v>
      </c>
      <c r="N882" t="str" cm="1">
        <f t="array" ref="N882">_xlfn.IFS(I882 = "Rob", "Robusta", I882 = "Exc", "Excelsa", I882 = "Ara", "Arabica", I882 = "Lib", "Liberica")</f>
        <v>Robusta</v>
      </c>
      <c r="O882" t="str">
        <f t="shared" si="27"/>
        <v>Light</v>
      </c>
      <c r="P882" t="str">
        <f>_xlfn.XLOOKUP(orders[[#This Row],[Customer ID]],customers!$A$1:$A$1001,customers!$I$1:$I$1001)</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 = 0, "", 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26"/>
        <v>23.31</v>
      </c>
      <c r="N883" t="str" cm="1">
        <f t="array" ref="N883">_xlfn.IFS(I883 = "Rob", "Robusta", I883 = "Exc", "Excelsa", I883 = "Ara", "Arabica", I883 = "Lib", "Liberica")</f>
        <v>Arabica</v>
      </c>
      <c r="O883" t="str">
        <f t="shared" si="27"/>
        <v>Light</v>
      </c>
      <c r="P883" t="str">
        <f>_xlfn.XLOOKUP(orders[[#This Row],[Customer ID]],customers!$A$1:$A$1001,customers!$I$1:$I$1001)</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 = 0, "", 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26"/>
        <v>114.42499999999998</v>
      </c>
      <c r="N884" t="str" cm="1">
        <f t="array" ref="N884">_xlfn.IFS(I884 = "Rob", "Robusta", I884 = "Exc", "Excelsa", I884 = "Ara", "Arabica", I884 = "Lib", "Liberica")</f>
        <v>Arabica</v>
      </c>
      <c r="O884" t="str">
        <f t="shared" si="27"/>
        <v>Dark</v>
      </c>
      <c r="P884" t="str">
        <f>_xlfn.XLOOKUP(orders[[#This Row],[Customer ID]],customers!$A$1:$A$1001,customers!$I$1:$I$1001)</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 = 0, "", 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26"/>
        <v>77.624999999999986</v>
      </c>
      <c r="N885" t="str" cm="1">
        <f t="array" ref="N885">_xlfn.IFS(I885 = "Rob", "Robusta", I885 = "Exc", "Excelsa", I885 = "Ara", "Arabica", I885 = "Lib", "Liberica")</f>
        <v>Arabica</v>
      </c>
      <c r="O885" t="str">
        <f t="shared" si="27"/>
        <v>Medium</v>
      </c>
      <c r="P885" t="str">
        <f>_xlfn.XLOOKUP(orders[[#This Row],[Customer ID]],customers!$A$1:$A$1001,customers!$I$1:$I$1001)</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 = 0, "", 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26"/>
        <v>5.3699999999999992</v>
      </c>
      <c r="N886" t="str" cm="1">
        <f t="array" ref="N886">_xlfn.IFS(I886 = "Rob", "Robusta", I886 = "Exc", "Excelsa", I886 = "Ara", "Arabica", I886 = "Lib", "Liberica")</f>
        <v>Robusta</v>
      </c>
      <c r="O886" t="str">
        <f t="shared" si="27"/>
        <v>Dark</v>
      </c>
      <c r="P886" t="str">
        <f>_xlfn.XLOOKUP(orders[[#This Row],[Customer ID]],customers!$A$1:$A$1001,customers!$I$1:$I$1001)</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 = 0, "", 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26"/>
        <v>123.50999999999999</v>
      </c>
      <c r="N887" t="str" cm="1">
        <f t="array" ref="N887">_xlfn.IFS(I887 = "Rob", "Robusta", I887 = "Exc", "Excelsa", I887 = "Ara", "Arabica", I887 = "Lib", "Liberica")</f>
        <v>Robusta</v>
      </c>
      <c r="O887" t="str">
        <f t="shared" si="27"/>
        <v>Dark</v>
      </c>
      <c r="P887" t="str">
        <f>_xlfn.XLOOKUP(orders[[#This Row],[Customer ID]],customers!$A$1:$A$1001,customers!$I$1:$I$1001)</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 = 0, "", 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26"/>
        <v>17.46</v>
      </c>
      <c r="N888" t="str" cm="1">
        <f t="array" ref="N888">_xlfn.IFS(I888 = "Rob", "Robusta", I888 = "Exc", "Excelsa", I888 = "Ara", "Arabica", I888 = "Lib", "Liberica")</f>
        <v>Liberica</v>
      </c>
      <c r="O888" t="str">
        <f t="shared" si="27"/>
        <v>Medium</v>
      </c>
      <c r="P888" t="str">
        <f>_xlfn.XLOOKUP(orders[[#This Row],[Customer ID]],customers!$A$1:$A$1001,customers!$I$1:$I$1001)</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 = 0, "", 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26"/>
        <v>13.365</v>
      </c>
      <c r="N889" t="str" cm="1">
        <f t="array" ref="N889">_xlfn.IFS(I889 = "Rob", "Robusta", I889 = "Exc", "Excelsa", I889 = "Ara", "Arabica", I889 = "Lib", "Liberica")</f>
        <v>Excelsa</v>
      </c>
      <c r="O889" t="str">
        <f t="shared" si="27"/>
        <v>Light</v>
      </c>
      <c r="P889" t="str">
        <f>_xlfn.XLOOKUP(orders[[#This Row],[Customer ID]],customers!$A$1:$A$1001,customers!$I$1:$I$1001)</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 = 0, "", 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26"/>
        <v>7.77</v>
      </c>
      <c r="N890" t="str" cm="1">
        <f t="array" ref="N890">_xlfn.IFS(I890 = "Rob", "Robusta", I890 = "Exc", "Excelsa", I890 = "Ara", "Arabica", I890 = "Lib", "Liberica")</f>
        <v>Arabica</v>
      </c>
      <c r="O890" t="str">
        <f t="shared" si="27"/>
        <v>Light</v>
      </c>
      <c r="P890" t="str">
        <f>_xlfn.XLOOKUP(orders[[#This Row],[Customer ID]],customers!$A$1:$A$1001,customers!$I$1:$I$1001)</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 = 0, "", 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26"/>
        <v>2.6849999999999996</v>
      </c>
      <c r="N891" t="str" cm="1">
        <f t="array" ref="N891">_xlfn.IFS(I891 = "Rob", "Robusta", I891 = "Exc", "Excelsa", I891 = "Ara", "Arabica", I891 = "Lib", "Liberica")</f>
        <v>Robusta</v>
      </c>
      <c r="O891" t="str">
        <f t="shared" si="27"/>
        <v>Dark</v>
      </c>
      <c r="P891" t="str">
        <f>_xlfn.XLOOKUP(orders[[#This Row],[Customer ID]],customers!$A$1:$A$1001,customers!$I$1:$I$1001)</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 = 0, "", 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26"/>
        <v>20.584999999999997</v>
      </c>
      <c r="N892" t="str" cm="1">
        <f t="array" ref="N892">_xlfn.IFS(I892 = "Rob", "Robusta", I892 = "Exc", "Excelsa", I892 = "Ara", "Arabica", I892 = "Lib", "Liberica")</f>
        <v>Robusta</v>
      </c>
      <c r="O892" t="str">
        <f t="shared" si="27"/>
        <v>Dark</v>
      </c>
      <c r="P892" t="str">
        <f>_xlfn.XLOOKUP(orders[[#This Row],[Customer ID]],customers!$A$1:$A$1001,customers!$I$1:$I$1001)</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 = 0, "", 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26"/>
        <v>114.42499999999998</v>
      </c>
      <c r="N893" t="str" cm="1">
        <f t="array" ref="N893">_xlfn.IFS(I893 = "Rob", "Robusta", I893 = "Exc", "Excelsa", I893 = "Ara", "Arabica", I893 = "Lib", "Liberica")</f>
        <v>Arabica</v>
      </c>
      <c r="O893" t="str">
        <f t="shared" si="27"/>
        <v>Dark</v>
      </c>
      <c r="P893" t="str">
        <f>_xlfn.XLOOKUP(orders[[#This Row],[Customer ID]],customers!$A$1:$A$1001,customers!$I$1:$I$1001)</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 = 0, "", 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26"/>
        <v>20.625</v>
      </c>
      <c r="N894" t="str" cm="1">
        <f t="array" ref="N894">_xlfn.IFS(I894 = "Rob", "Robusta", I894 = "Exc", "Excelsa", I894 = "Ara", "Arabica", I894 = "Lib", "Liberica")</f>
        <v>Excelsa</v>
      </c>
      <c r="O894" t="str">
        <f t="shared" si="27"/>
        <v>Medium</v>
      </c>
      <c r="P894" t="str">
        <f>_xlfn.XLOOKUP(orders[[#This Row],[Customer ID]],customers!$A$1:$A$1001,customers!$I$1:$I$1001)</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 = 0, "", 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26"/>
        <v>57.06</v>
      </c>
      <c r="N895" t="str" cm="1">
        <f t="array" ref="N895">_xlfn.IFS(I895 = "Rob", "Robusta", I895 = "Exc", "Excelsa", I895 = "Ara", "Arabica", I895 = "Lib", "Liberica")</f>
        <v>Liberica</v>
      </c>
      <c r="O895" t="str">
        <f t="shared" si="27"/>
        <v>Light</v>
      </c>
      <c r="P895" t="str">
        <f>_xlfn.XLOOKUP(orders[[#This Row],[Customer ID]],customers!$A$1:$A$1001,customers!$I$1:$I$1001)</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 = 0, "", 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26"/>
        <v>82.339999999999989</v>
      </c>
      <c r="N896" t="str" cm="1">
        <f t="array" ref="N896">_xlfn.IFS(I896 = "Rob", "Robusta", I896 = "Exc", "Excelsa", I896 = "Ara", "Arabica", I896 = "Lib", "Liberica")</f>
        <v>Robusta</v>
      </c>
      <c r="O896" t="str">
        <f t="shared" si="27"/>
        <v>Dark</v>
      </c>
      <c r="P896" t="str">
        <f>_xlfn.XLOOKUP(orders[[#This Row],[Customer ID]],customers!$A$1:$A$1001,customers!$I$1:$I$1001)</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 = 0, "", 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26"/>
        <v>158.12499999999997</v>
      </c>
      <c r="N897" t="str" cm="1">
        <f t="array" ref="N897">_xlfn.IFS(I897 = "Rob", "Robusta", I897 = "Exc", "Excelsa", I897 = "Ara", "Arabica", I897 = "Lib", "Liberica")</f>
        <v>Excelsa</v>
      </c>
      <c r="O897" t="str">
        <f t="shared" si="27"/>
        <v>Medium</v>
      </c>
      <c r="P897" t="str">
        <f>_xlfn.XLOOKUP(orders[[#This Row],[Customer ID]],customers!$A$1:$A$1001,customers!$I$1:$I$1001)</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 = 0, "", 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26"/>
        <v>32.22</v>
      </c>
      <c r="N898" t="str" cm="1">
        <f t="array" ref="N898">_xlfn.IFS(I898 = "Rob", "Robusta", I898 = "Exc", "Excelsa", I898 = "Ara", "Arabica", I898 = "Lib", "Liberica")</f>
        <v>Robusta</v>
      </c>
      <c r="O898" t="str">
        <f t="shared" si="27"/>
        <v>Dark</v>
      </c>
      <c r="P898" t="str">
        <f>_xlfn.XLOOKUP(orders[[#This Row],[Customer ID]],customers!$A$1:$A$1001,customers!$I$1:$I$1001)</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 = 0, "", 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28">SUM(L899*E899)</f>
        <v>24.3</v>
      </c>
      <c r="N899" t="str" cm="1">
        <f t="array" ref="N899">_xlfn.IFS(I899 = "Rob", "Robusta", I899 = "Exc", "Excelsa", I899 = "Ara", "Arabica", I899 = "Lib", "Liberica")</f>
        <v>Excelsa</v>
      </c>
      <c r="O899" t="str">
        <f t="shared" ref="O899:O962" si="29">IF(J899 = "M", "Medium", IF(J899= "L", "Light",IF( J899 = "D", "Dark")))</f>
        <v>Dark</v>
      </c>
      <c r="P899" t="str">
        <f>_xlfn.XLOOKUP(orders[[#This Row],[Customer ID]],customers!$A$1:$A$1001,customers!$I$1:$I$1001)</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 = 0, "", 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28"/>
        <v>35.849999999999994</v>
      </c>
      <c r="N900" t="str" cm="1">
        <f t="array" ref="N900">_xlfn.IFS(I900 = "Rob", "Robusta", I900 = "Exc", "Excelsa", I900 = "Ara", "Arabica", I900 = "Lib", "Liberica")</f>
        <v>Robusta</v>
      </c>
      <c r="O900" t="str">
        <f t="shared" si="29"/>
        <v>Light</v>
      </c>
      <c r="P900" t="str">
        <f>_xlfn.XLOOKUP(orders[[#This Row],[Customer ID]],customers!$A$1:$A$1001,customers!$I$1:$I$1001)</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 = 0, "", 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28"/>
        <v>72.75</v>
      </c>
      <c r="N901" t="str" cm="1">
        <f t="array" ref="N901">_xlfn.IFS(I901 = "Rob", "Robusta", I901 = "Exc", "Excelsa", I901 = "Ara", "Arabica", I901 = "Lib", "Liberica")</f>
        <v>Liberica</v>
      </c>
      <c r="O901" t="str">
        <f t="shared" si="29"/>
        <v>Medium</v>
      </c>
      <c r="P901" t="str">
        <f>_xlfn.XLOOKUP(orders[[#This Row],[Customer ID]],customers!$A$1:$A$1001,customers!$I$1:$I$1001)</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 = 0, "", 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28"/>
        <v>47.55</v>
      </c>
      <c r="N902" t="str" cm="1">
        <f t="array" ref="N902">_xlfn.IFS(I902 = "Rob", "Robusta", I902 = "Exc", "Excelsa", I902 = "Ara", "Arabica", I902 = "Lib", "Liberica")</f>
        <v>Liberica</v>
      </c>
      <c r="O902" t="str">
        <f t="shared" si="29"/>
        <v>Light</v>
      </c>
      <c r="P902" t="str">
        <f>_xlfn.XLOOKUP(orders[[#This Row],[Customer ID]],customers!$A$1:$A$1001,customers!$I$1:$I$1001)</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 = 0, "", 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28"/>
        <v>3.5849999999999995</v>
      </c>
      <c r="N903" t="str" cm="1">
        <f t="array" ref="N903">_xlfn.IFS(I903 = "Rob", "Robusta", I903 = "Exc", "Excelsa", I903 = "Ara", "Arabica", I903 = "Lib", "Liberica")</f>
        <v>Robusta</v>
      </c>
      <c r="O903" t="str">
        <f t="shared" si="29"/>
        <v>Light</v>
      </c>
      <c r="P903" t="str">
        <f>_xlfn.XLOOKUP(orders[[#This Row],[Customer ID]],customers!$A$1:$A$1001,customers!$I$1:$I$1001)</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 = 0, "", 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28"/>
        <v>158.12499999999997</v>
      </c>
      <c r="N904" t="str" cm="1">
        <f t="array" ref="N904">_xlfn.IFS(I904 = "Rob", "Robusta", I904 = "Exc", "Excelsa", I904 = "Ara", "Arabica", I904 = "Lib", "Liberica")</f>
        <v>Excelsa</v>
      </c>
      <c r="O904" t="str">
        <f t="shared" si="29"/>
        <v>Medium</v>
      </c>
      <c r="P904" t="str">
        <f>_xlfn.XLOOKUP(orders[[#This Row],[Customer ID]],customers!$A$1:$A$1001,customers!$I$1:$I$1001)</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 = 0, "", 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28"/>
        <v>17.46</v>
      </c>
      <c r="N905" t="str" cm="1">
        <f t="array" ref="N905">_xlfn.IFS(I905 = "Rob", "Robusta", I905 = "Exc", "Excelsa", I905 = "Ara", "Arabica", I905 = "Lib", "Liberica")</f>
        <v>Liberica</v>
      </c>
      <c r="O905" t="str">
        <f t="shared" si="29"/>
        <v>Medium</v>
      </c>
      <c r="P905" t="str">
        <f>_xlfn.XLOOKUP(orders[[#This Row],[Customer ID]],customers!$A$1:$A$1001,customers!$I$1:$I$1001)</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 = 0, "", 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28"/>
        <v>148.92499999999998</v>
      </c>
      <c r="N906" t="str" cm="1">
        <f t="array" ref="N906">_xlfn.IFS(I906 = "Rob", "Robusta", I906 = "Exc", "Excelsa", I906 = "Ara", "Arabica", I906 = "Lib", "Liberica")</f>
        <v>Arabica</v>
      </c>
      <c r="O906" t="str">
        <f t="shared" si="29"/>
        <v>Light</v>
      </c>
      <c r="P906" t="str">
        <f>_xlfn.XLOOKUP(orders[[#This Row],[Customer ID]],customers!$A$1:$A$1001,customers!$I$1:$I$1001)</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 = 0, "", 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28"/>
        <v>40.5</v>
      </c>
      <c r="N907" t="str" cm="1">
        <f t="array" ref="N907">_xlfn.IFS(I907 = "Rob", "Robusta", I907 = "Exc", "Excelsa", I907 = "Ara", "Arabica", I907 = "Lib", "Liberica")</f>
        <v>Arabica</v>
      </c>
      <c r="O907" t="str">
        <f t="shared" si="29"/>
        <v>Medium</v>
      </c>
      <c r="P907" t="str">
        <f>_xlfn.XLOOKUP(orders[[#This Row],[Customer ID]],customers!$A$1:$A$1001,customers!$I$1:$I$1001)</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 = 0, "", 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28"/>
        <v>27</v>
      </c>
      <c r="N908" t="str" cm="1">
        <f t="array" ref="N908">_xlfn.IFS(I908 = "Rob", "Robusta", I908 = "Exc", "Excelsa", I908 = "Ara", "Arabica", I908 = "Lib", "Liberica")</f>
        <v>Arabica</v>
      </c>
      <c r="O908" t="str">
        <f t="shared" si="29"/>
        <v>Medium</v>
      </c>
      <c r="P908" t="str">
        <f>_xlfn.XLOOKUP(orders[[#This Row],[Customer ID]],customers!$A$1:$A$1001,customers!$I$1:$I$1001)</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 = 0, "", 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28"/>
        <v>38.849999999999994</v>
      </c>
      <c r="N909" t="str" cm="1">
        <f t="array" ref="N909">_xlfn.IFS(I909 = "Rob", "Robusta", I909 = "Exc", "Excelsa", I909 = "Ara", "Arabica", I909 = "Lib", "Liberica")</f>
        <v>Liberica</v>
      </c>
      <c r="O909" t="str">
        <f t="shared" si="29"/>
        <v>Dark</v>
      </c>
      <c r="P909" t="str">
        <f>_xlfn.XLOOKUP(orders[[#This Row],[Customer ID]],customers!$A$1:$A$1001,customers!$I$1:$I$1001)</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 = 0, "", 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28"/>
        <v>59.75</v>
      </c>
      <c r="N910" t="str" cm="1">
        <f t="array" ref="N910">_xlfn.IFS(I910 = "Rob", "Robusta", I910 = "Exc", "Excelsa", I910 = "Ara", "Arabica", I910 = "Lib", "Liberica")</f>
        <v>Robusta</v>
      </c>
      <c r="O910" t="str">
        <f t="shared" si="29"/>
        <v>Light</v>
      </c>
      <c r="P910" t="str">
        <f>_xlfn.XLOOKUP(orders[[#This Row],[Customer ID]],customers!$A$1:$A$1001,customers!$I$1:$I$1001)</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 = 0, "", 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28"/>
        <v>10.754999999999999</v>
      </c>
      <c r="N911" t="str" cm="1">
        <f t="array" ref="N911">_xlfn.IFS(I911 = "Rob", "Robusta", I911 = "Exc", "Excelsa", I911 = "Ara", "Arabica", I911 = "Lib", "Liberica")</f>
        <v>Robusta</v>
      </c>
      <c r="O911" t="str">
        <f t="shared" si="29"/>
        <v>Light</v>
      </c>
      <c r="P911" t="str">
        <f>_xlfn.XLOOKUP(orders[[#This Row],[Customer ID]],customers!$A$1:$A$1001,customers!$I$1:$I$1001)</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 = 0, "", 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28"/>
        <v>91.539999999999992</v>
      </c>
      <c r="N912" t="str" cm="1">
        <f t="array" ref="N912">_xlfn.IFS(I912 = "Rob", "Robusta", I912 = "Exc", "Excelsa", I912 = "Ara", "Arabica", I912 = "Lib", "Liberica")</f>
        <v>Arabica</v>
      </c>
      <c r="O912" t="str">
        <f t="shared" si="29"/>
        <v>Dark</v>
      </c>
      <c r="P912" t="str">
        <f>_xlfn.XLOOKUP(orders[[#This Row],[Customer ID]],customers!$A$1:$A$1001,customers!$I$1:$I$1001)</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 = 0, "", 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28"/>
        <v>45</v>
      </c>
      <c r="N913" t="str" cm="1">
        <f t="array" ref="N913">_xlfn.IFS(I913 = "Rob", "Robusta", I913 = "Exc", "Excelsa", I913 = "Ara", "Arabica", I913 = "Lib", "Liberica")</f>
        <v>Arabica</v>
      </c>
      <c r="O913" t="str">
        <f t="shared" si="29"/>
        <v>Medium</v>
      </c>
      <c r="P913" t="str">
        <f>_xlfn.XLOOKUP(orders[[#This Row],[Customer ID]],customers!$A$1:$A$1001,customers!$I$1:$I$1001)</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 = 0, "", 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28"/>
        <v>137.31</v>
      </c>
      <c r="N914" t="str" cm="1">
        <f t="array" ref="N914">_xlfn.IFS(I914 = "Rob", "Robusta", I914 = "Exc", "Excelsa", I914 = "Ara", "Arabica", I914 = "Lib", "Liberica")</f>
        <v>Robusta</v>
      </c>
      <c r="O914" t="str">
        <f t="shared" si="29"/>
        <v>Medium</v>
      </c>
      <c r="P914" t="str">
        <f>_xlfn.XLOOKUP(orders[[#This Row],[Customer ID]],customers!$A$1:$A$1001,customers!$I$1:$I$1001)</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 = 0, "", 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28"/>
        <v>6.75</v>
      </c>
      <c r="N915" t="str" cm="1">
        <f t="array" ref="N915">_xlfn.IFS(I915 = "Rob", "Robusta", I915 = "Exc", "Excelsa", I915 = "Ara", "Arabica", I915 = "Lib", "Liberica")</f>
        <v>Arabica</v>
      </c>
      <c r="O915" t="str">
        <f t="shared" si="29"/>
        <v>Medium</v>
      </c>
      <c r="P915" t="str">
        <f>_xlfn.XLOOKUP(orders[[#This Row],[Customer ID]],customers!$A$1:$A$1001,customers!$I$1:$I$1001)</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 = 0, "", 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28"/>
        <v>45</v>
      </c>
      <c r="N916" t="str" cm="1">
        <f t="array" ref="N916">_xlfn.IFS(I916 = "Rob", "Robusta", I916 = "Exc", "Excelsa", I916 = "Ara", "Arabica", I916 = "Lib", "Liberica")</f>
        <v>Arabica</v>
      </c>
      <c r="O916" t="str">
        <f t="shared" si="29"/>
        <v>Medium</v>
      </c>
      <c r="P916" t="str">
        <f>_xlfn.XLOOKUP(orders[[#This Row],[Customer ID]],customers!$A$1:$A$1001,customers!$I$1:$I$1001)</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 = 0, "", 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28"/>
        <v>83.835000000000008</v>
      </c>
      <c r="N917" t="str" cm="1">
        <f t="array" ref="N917">_xlfn.IFS(I917 = "Rob", "Robusta", I917 = "Exc", "Excelsa", I917 = "Ara", "Arabica", I917 = "Lib", "Liberica")</f>
        <v>Excelsa</v>
      </c>
      <c r="O917" t="str">
        <f t="shared" si="29"/>
        <v>Dark</v>
      </c>
      <c r="P917" t="str">
        <f>_xlfn.XLOOKUP(orders[[#This Row],[Customer ID]],customers!$A$1:$A$1001,customers!$I$1:$I$1001)</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 = 0, "", 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28"/>
        <v>3.645</v>
      </c>
      <c r="N918" t="str" cm="1">
        <f t="array" ref="N918">_xlfn.IFS(I918 = "Rob", "Robusta", I918 = "Exc", "Excelsa", I918 = "Ara", "Arabica", I918 = "Lib", "Liberica")</f>
        <v>Excelsa</v>
      </c>
      <c r="O918" t="str">
        <f t="shared" si="29"/>
        <v>Dark</v>
      </c>
      <c r="P918" t="str">
        <f>_xlfn.XLOOKUP(orders[[#This Row],[Customer ID]],customers!$A$1:$A$1001,customers!$I$1:$I$1001)</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 = 0, "", 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28"/>
        <v>6.75</v>
      </c>
      <c r="N919" t="str" cm="1">
        <f t="array" ref="N919">_xlfn.IFS(I919 = "Rob", "Robusta", I919 = "Exc", "Excelsa", I919 = "Ara", "Arabica", I919 = "Lib", "Liberica")</f>
        <v>Arabica</v>
      </c>
      <c r="O919" t="str">
        <f t="shared" si="29"/>
        <v>Medium</v>
      </c>
      <c r="P919" t="str">
        <f>_xlfn.XLOOKUP(orders[[#This Row],[Customer ID]],customers!$A$1:$A$1001,customers!$I$1:$I$1001)</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 = 0, "", 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28"/>
        <v>21.87</v>
      </c>
      <c r="N920" t="str" cm="1">
        <f t="array" ref="N920">_xlfn.IFS(I920 = "Rob", "Robusta", I920 = "Exc", "Excelsa", I920 = "Ara", "Arabica", I920 = "Lib", "Liberica")</f>
        <v>Excelsa</v>
      </c>
      <c r="O920" t="str">
        <f t="shared" si="29"/>
        <v>Dark</v>
      </c>
      <c r="P920" t="str">
        <f>_xlfn.XLOOKUP(orders[[#This Row],[Customer ID]],customers!$A$1:$A$1001,customers!$I$1:$I$1001)</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 = 0, "", 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28"/>
        <v>13.424999999999997</v>
      </c>
      <c r="N921" t="str" cm="1">
        <f t="array" ref="N921">_xlfn.IFS(I921 = "Rob", "Robusta", I921 = "Exc", "Excelsa", I921 = "Ara", "Arabica", I921 = "Lib", "Liberica")</f>
        <v>Robusta</v>
      </c>
      <c r="O921" t="str">
        <f t="shared" si="29"/>
        <v>Dark</v>
      </c>
      <c r="P921" t="str">
        <f>_xlfn.XLOOKUP(orders[[#This Row],[Customer ID]],customers!$A$1:$A$1001,customers!$I$1:$I$1001)</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 = 0, "", 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28"/>
        <v>123.50999999999999</v>
      </c>
      <c r="N922" t="str" cm="1">
        <f t="array" ref="N922">_xlfn.IFS(I922 = "Rob", "Robusta", I922 = "Exc", "Excelsa", I922 = "Ara", "Arabica", I922 = "Lib", "Liberica")</f>
        <v>Robusta</v>
      </c>
      <c r="O922" t="str">
        <f t="shared" si="29"/>
        <v>Dark</v>
      </c>
      <c r="P922" t="str">
        <f>_xlfn.XLOOKUP(orders[[#This Row],[Customer ID]],customers!$A$1:$A$1001,customers!$I$1:$I$1001)</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 = 0, "", 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28"/>
        <v>7.77</v>
      </c>
      <c r="N923" t="str" cm="1">
        <f t="array" ref="N923">_xlfn.IFS(I923 = "Rob", "Robusta", I923 = "Exc", "Excelsa", I923 = "Ara", "Arabica", I923 = "Lib", "Liberica")</f>
        <v>Liberica</v>
      </c>
      <c r="O923" t="str">
        <f t="shared" si="29"/>
        <v>Dark</v>
      </c>
      <c r="P923" t="str">
        <f>_xlfn.XLOOKUP(orders[[#This Row],[Customer ID]],customers!$A$1:$A$1001,customers!$I$1:$I$1001)</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 = 0, "", 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28"/>
        <v>67.5</v>
      </c>
      <c r="N924" t="str" cm="1">
        <f t="array" ref="N924">_xlfn.IFS(I924 = "Rob", "Robusta", I924 = "Exc", "Excelsa", I924 = "Ara", "Arabica", I924 = "Lib", "Liberica")</f>
        <v>Arabica</v>
      </c>
      <c r="O924" t="str">
        <f t="shared" si="29"/>
        <v>Medium</v>
      </c>
      <c r="P924" t="str">
        <f>_xlfn.XLOOKUP(orders[[#This Row],[Customer ID]],customers!$A$1:$A$1001,customers!$I$1:$I$1001)</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 = 0, "", 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28"/>
        <v>27.945</v>
      </c>
      <c r="N925" t="str" cm="1">
        <f t="array" ref="N925">_xlfn.IFS(I925 = "Rob", "Robusta", I925 = "Exc", "Excelsa", I925 = "Ara", "Arabica", I925 = "Lib", "Liberica")</f>
        <v>Excelsa</v>
      </c>
      <c r="O925" t="str">
        <f t="shared" si="29"/>
        <v>Dark</v>
      </c>
      <c r="P925" t="str">
        <f>_xlfn.XLOOKUP(orders[[#This Row],[Customer ID]],customers!$A$1:$A$1001,customers!$I$1:$I$1001)</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 = 0, "", 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28"/>
        <v>89.35499999999999</v>
      </c>
      <c r="N926" t="str" cm="1">
        <f t="array" ref="N926">_xlfn.IFS(I926 = "Rob", "Robusta", I926 = "Exc", "Excelsa", I926 = "Ara", "Arabica", I926 = "Lib", "Liberica")</f>
        <v>Arabica</v>
      </c>
      <c r="O926" t="str">
        <f t="shared" si="29"/>
        <v>Light</v>
      </c>
      <c r="P926" t="str">
        <f>_xlfn.XLOOKUP(orders[[#This Row],[Customer ID]],customers!$A$1:$A$1001,customers!$I$1:$I$1001)</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 = 0, "", 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28"/>
        <v>20.25</v>
      </c>
      <c r="N927" t="str" cm="1">
        <f t="array" ref="N927">_xlfn.IFS(I927 = "Rob", "Robusta", I927 = "Exc", "Excelsa", I927 = "Ara", "Arabica", I927 = "Lib", "Liberica")</f>
        <v>Arabica</v>
      </c>
      <c r="O927" t="str">
        <f t="shared" si="29"/>
        <v>Medium</v>
      </c>
      <c r="P927" t="str">
        <f>_xlfn.XLOOKUP(orders[[#This Row],[Customer ID]],customers!$A$1:$A$1001,customers!$I$1:$I$1001)</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 = 0, "", 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28"/>
        <v>33.75</v>
      </c>
      <c r="N928" t="str" cm="1">
        <f t="array" ref="N928">_xlfn.IFS(I928 = "Rob", "Robusta", I928 = "Exc", "Excelsa", I928 = "Ara", "Arabica", I928 = "Lib", "Liberica")</f>
        <v>Arabica</v>
      </c>
      <c r="O928" t="str">
        <f t="shared" si="29"/>
        <v>Medium</v>
      </c>
      <c r="P928" t="str">
        <f>_xlfn.XLOOKUP(orders[[#This Row],[Customer ID]],customers!$A$1:$A$1001,customers!$I$1:$I$1001)</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 = 0, "", 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28"/>
        <v>111.78</v>
      </c>
      <c r="N929" t="str" cm="1">
        <f t="array" ref="N929">_xlfn.IFS(I929 = "Rob", "Robusta", I929 = "Exc", "Excelsa", I929 = "Ara", "Arabica", I929 = "Lib", "Liberica")</f>
        <v>Excelsa</v>
      </c>
      <c r="O929" t="str">
        <f t="shared" si="29"/>
        <v>Dark</v>
      </c>
      <c r="P929" t="str">
        <f>_xlfn.XLOOKUP(orders[[#This Row],[Customer ID]],customers!$A$1:$A$1001,customers!$I$1:$I$1001)</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 = 0, "", 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28"/>
        <v>63.249999999999993</v>
      </c>
      <c r="N930" t="str" cm="1">
        <f t="array" ref="N930">_xlfn.IFS(I930 = "Rob", "Robusta", I930 = "Exc", "Excelsa", I930 = "Ara", "Arabica", I930 = "Lib", "Liberica")</f>
        <v>Excelsa</v>
      </c>
      <c r="O930" t="str">
        <f t="shared" si="29"/>
        <v>Medium</v>
      </c>
      <c r="P930" t="str">
        <f>_xlfn.XLOOKUP(orders[[#This Row],[Customer ID]],customers!$A$1:$A$1001,customers!$I$1:$I$1001)</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 = 0, "", 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28"/>
        <v>8.91</v>
      </c>
      <c r="N931" t="str" cm="1">
        <f t="array" ref="N931">_xlfn.IFS(I931 = "Rob", "Robusta", I931 = "Exc", "Excelsa", I931 = "Ara", "Arabica", I931 = "Lib", "Liberica")</f>
        <v>Excelsa</v>
      </c>
      <c r="O931" t="str">
        <f t="shared" si="29"/>
        <v>Light</v>
      </c>
      <c r="P931" t="str">
        <f>_xlfn.XLOOKUP(orders[[#This Row],[Customer ID]],customers!$A$1:$A$1001,customers!$I$1:$I$1001)</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 = 0, "", 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28"/>
        <v>12.15</v>
      </c>
      <c r="N932" t="str" cm="1">
        <f t="array" ref="N932">_xlfn.IFS(I932 = "Rob", "Robusta", I932 = "Exc", "Excelsa", I932 = "Ara", "Arabica", I932 = "Lib", "Liberica")</f>
        <v>Excelsa</v>
      </c>
      <c r="O932" t="str">
        <f t="shared" si="29"/>
        <v>Dark</v>
      </c>
      <c r="P932" t="str">
        <f>_xlfn.XLOOKUP(orders[[#This Row],[Customer ID]],customers!$A$1:$A$1001,customers!$I$1:$I$1001)</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 = 0, "", 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28"/>
        <v>23.88</v>
      </c>
      <c r="N933" t="str" cm="1">
        <f t="array" ref="N933">_xlfn.IFS(I933 = "Rob", "Robusta", I933 = "Exc", "Excelsa", I933 = "Ara", "Arabica", I933 = "Lib", "Liberica")</f>
        <v>Arabica</v>
      </c>
      <c r="O933" t="str">
        <f t="shared" si="29"/>
        <v>Dark</v>
      </c>
      <c r="P933" t="str">
        <f>_xlfn.XLOOKUP(orders[[#This Row],[Customer ID]],customers!$A$1:$A$1001,customers!$I$1:$I$1001)</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 = 0, "", 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28"/>
        <v>55</v>
      </c>
      <c r="N934" t="str" cm="1">
        <f t="array" ref="N934">_xlfn.IFS(I934 = "Rob", "Robusta", I934 = "Exc", "Excelsa", I934 = "Ara", "Arabica", I934 = "Lib", "Liberica")</f>
        <v>Excelsa</v>
      </c>
      <c r="O934" t="str">
        <f t="shared" si="29"/>
        <v>Medium</v>
      </c>
      <c r="P934" t="str">
        <f>_xlfn.XLOOKUP(orders[[#This Row],[Customer ID]],customers!$A$1:$A$1001,customers!$I$1:$I$1001)</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 = 0, "", 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28"/>
        <v>26.849999999999998</v>
      </c>
      <c r="N935" t="str" cm="1">
        <f t="array" ref="N935">_xlfn.IFS(I935 = "Rob", "Robusta", I935 = "Exc", "Excelsa", I935 = "Ara", "Arabica", I935 = "Lib", "Liberica")</f>
        <v>Robusta</v>
      </c>
      <c r="O935" t="str">
        <f t="shared" si="29"/>
        <v>Dark</v>
      </c>
      <c r="P935" t="str">
        <f>_xlfn.XLOOKUP(orders[[#This Row],[Customer ID]],customers!$A$1:$A$1001,customers!$I$1:$I$1001)</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 = 0, "", 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28"/>
        <v>114.42499999999998</v>
      </c>
      <c r="N936" t="str" cm="1">
        <f t="array" ref="N936">_xlfn.IFS(I936 = "Rob", "Robusta", I936 = "Exc", "Excelsa", I936 = "Ara", "Arabica", I936 = "Lib", "Liberica")</f>
        <v>Robusta</v>
      </c>
      <c r="O936" t="str">
        <f t="shared" si="29"/>
        <v>Medium</v>
      </c>
      <c r="P936" t="str">
        <f>_xlfn.XLOOKUP(orders[[#This Row],[Customer ID]],customers!$A$1:$A$1001,customers!$I$1:$I$1001)</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 = 0, "", 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28"/>
        <v>155.24999999999997</v>
      </c>
      <c r="N937" t="str" cm="1">
        <f t="array" ref="N937">_xlfn.IFS(I937 = "Rob", "Robusta", I937 = "Exc", "Excelsa", I937 = "Ara", "Arabica", I937 = "Lib", "Liberica")</f>
        <v>Arabica</v>
      </c>
      <c r="O937" t="str">
        <f t="shared" si="29"/>
        <v>Medium</v>
      </c>
      <c r="P937" t="str">
        <f>_xlfn.XLOOKUP(orders[[#This Row],[Customer ID]],customers!$A$1:$A$1001,customers!$I$1:$I$1001)</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 = 0, "", 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28"/>
        <v>23.31</v>
      </c>
      <c r="N938" t="str" cm="1">
        <f t="array" ref="N938">_xlfn.IFS(I938 = "Rob", "Robusta", I938 = "Exc", "Excelsa", I938 = "Ara", "Arabica", I938 = "Lib", "Liberica")</f>
        <v>Liberica</v>
      </c>
      <c r="O938" t="str">
        <f t="shared" si="29"/>
        <v>Dark</v>
      </c>
      <c r="P938" t="str">
        <f>_xlfn.XLOOKUP(orders[[#This Row],[Customer ID]],customers!$A$1:$A$1001,customers!$I$1:$I$1001)</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 = 0, "", 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28"/>
        <v>91.539999999999992</v>
      </c>
      <c r="N939" t="str" cm="1">
        <f t="array" ref="N939">_xlfn.IFS(I939 = "Rob", "Robusta", I939 = "Exc", "Excelsa", I939 = "Ara", "Arabica", I939 = "Lib", "Liberica")</f>
        <v>Robusta</v>
      </c>
      <c r="O939" t="str">
        <f t="shared" si="29"/>
        <v>Medium</v>
      </c>
      <c r="P939" t="str">
        <f>_xlfn.XLOOKUP(orders[[#This Row],[Customer ID]],customers!$A$1:$A$1001,customers!$I$1:$I$1001)</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 = 0, "", 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28"/>
        <v>74.25</v>
      </c>
      <c r="N940" t="str" cm="1">
        <f t="array" ref="N940">_xlfn.IFS(I940 = "Rob", "Robusta", I940 = "Exc", "Excelsa", I940 = "Ara", "Arabica", I940 = "Lib", "Liberica")</f>
        <v>Excelsa</v>
      </c>
      <c r="O940" t="str">
        <f t="shared" si="29"/>
        <v>Light</v>
      </c>
      <c r="P940" t="str">
        <f>_xlfn.XLOOKUP(orders[[#This Row],[Customer ID]],customers!$A$1:$A$1001,customers!$I$1:$I$1001)</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 = 0, "", 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28"/>
        <v>28.53</v>
      </c>
      <c r="N941" t="str" cm="1">
        <f t="array" ref="N941">_xlfn.IFS(I941 = "Rob", "Robusta", I941 = "Exc", "Excelsa", I941 = "Ara", "Arabica", I941 = "Lib", "Liberica")</f>
        <v>Liberica</v>
      </c>
      <c r="O941" t="str">
        <f t="shared" si="29"/>
        <v>Light</v>
      </c>
      <c r="P941" t="str">
        <f>_xlfn.XLOOKUP(orders[[#This Row],[Customer ID]],customers!$A$1:$A$1001,customers!$I$1:$I$1001)</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 = 0, "", 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28"/>
        <v>14.339999999999998</v>
      </c>
      <c r="N942" t="str" cm="1">
        <f t="array" ref="N942">_xlfn.IFS(I942 = "Rob", "Robusta", I942 = "Exc", "Excelsa", I942 = "Ara", "Arabica", I942 = "Lib", "Liberica")</f>
        <v>Robusta</v>
      </c>
      <c r="O942" t="str">
        <f t="shared" si="29"/>
        <v>Light</v>
      </c>
      <c r="P942" t="str">
        <f>_xlfn.XLOOKUP(orders[[#This Row],[Customer ID]],customers!$A$1:$A$1001,customers!$I$1:$I$1001)</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 = 0, "", 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28"/>
        <v>15.54</v>
      </c>
      <c r="N943" t="str" cm="1">
        <f t="array" ref="N943">_xlfn.IFS(I943 = "Rob", "Robusta", I943 = "Exc", "Excelsa", I943 = "Ara", "Arabica", I943 = "Lib", "Liberica")</f>
        <v>Arabica</v>
      </c>
      <c r="O943" t="str">
        <f t="shared" si="29"/>
        <v>Light</v>
      </c>
      <c r="P943" t="str">
        <f>_xlfn.XLOOKUP(orders[[#This Row],[Customer ID]],customers!$A$1:$A$1001,customers!$I$1:$I$1001)</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 = 0, "", 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28"/>
        <v>35.849999999999994</v>
      </c>
      <c r="N944" t="str" cm="1">
        <f t="array" ref="N944">_xlfn.IFS(I944 = "Rob", "Robusta", I944 = "Exc", "Excelsa", I944 = "Ara", "Arabica", I944 = "Lib", "Liberica")</f>
        <v>Robusta</v>
      </c>
      <c r="O944" t="str">
        <f t="shared" si="29"/>
        <v>Light</v>
      </c>
      <c r="P944" t="str">
        <f>_xlfn.XLOOKUP(orders[[#This Row],[Customer ID]],customers!$A$1:$A$1001,customers!$I$1:$I$1001)</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 = 0, "", 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28"/>
        <v>46.62</v>
      </c>
      <c r="N945" t="str" cm="1">
        <f t="array" ref="N945">_xlfn.IFS(I945 = "Rob", "Robusta", I945 = "Exc", "Excelsa", I945 = "Ara", "Arabica", I945 = "Lib", "Liberica")</f>
        <v>Arabica</v>
      </c>
      <c r="O945" t="str">
        <f t="shared" si="29"/>
        <v>Light</v>
      </c>
      <c r="P945" t="str">
        <f>_xlfn.XLOOKUP(orders[[#This Row],[Customer ID]],customers!$A$1:$A$1001,customers!$I$1:$I$1001)</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 = 0, "", 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28"/>
        <v>35.849999999999994</v>
      </c>
      <c r="N946" t="str" cm="1">
        <f t="array" ref="N946">_xlfn.IFS(I946 = "Rob", "Robusta", I946 = "Exc", "Excelsa", I946 = "Ara", "Arabica", I946 = "Lib", "Liberica")</f>
        <v>Robusta</v>
      </c>
      <c r="O946" t="str">
        <f t="shared" si="29"/>
        <v>Light</v>
      </c>
      <c r="P946" t="str">
        <f>_xlfn.XLOOKUP(orders[[#This Row],[Customer ID]],customers!$A$1:$A$1001,customers!$I$1:$I$1001)</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 = 0, "", 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28"/>
        <v>119.13999999999999</v>
      </c>
      <c r="N947" t="str" cm="1">
        <f t="array" ref="N947">_xlfn.IFS(I947 = "Rob", "Robusta", I947 = "Exc", "Excelsa", I947 = "Ara", "Arabica", I947 = "Lib", "Liberica")</f>
        <v>Liberica</v>
      </c>
      <c r="O947" t="str">
        <f t="shared" si="29"/>
        <v>Dark</v>
      </c>
      <c r="P947" t="str">
        <f>_xlfn.XLOOKUP(orders[[#This Row],[Customer ID]],customers!$A$1:$A$1001,customers!$I$1:$I$1001)</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 = 0, "", 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28"/>
        <v>23.31</v>
      </c>
      <c r="N948" t="str" cm="1">
        <f t="array" ref="N948">_xlfn.IFS(I948 = "Rob", "Robusta", I948 = "Exc", "Excelsa", I948 = "Ara", "Arabica", I948 = "Lib", "Liberica")</f>
        <v>Liberica</v>
      </c>
      <c r="O948" t="str">
        <f t="shared" si="29"/>
        <v>Dark</v>
      </c>
      <c r="P948" t="str">
        <f>_xlfn.XLOOKUP(orders[[#This Row],[Customer ID]],customers!$A$1:$A$1001,customers!$I$1:$I$1001)</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 = 0, "", 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28"/>
        <v>11.25</v>
      </c>
      <c r="N949" t="str" cm="1">
        <f t="array" ref="N949">_xlfn.IFS(I949 = "Rob", "Robusta", I949 = "Exc", "Excelsa", I949 = "Ara", "Arabica", I949 = "Lib", "Liberica")</f>
        <v>Arabica</v>
      </c>
      <c r="O949" t="str">
        <f t="shared" si="29"/>
        <v>Medium</v>
      </c>
      <c r="P949" t="str">
        <f>_xlfn.XLOOKUP(orders[[#This Row],[Customer ID]],customers!$A$1:$A$1001,customers!$I$1:$I$1001)</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 = 0, "", 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28"/>
        <v>83.835000000000008</v>
      </c>
      <c r="N950" t="str" cm="1">
        <f t="array" ref="N950">_xlfn.IFS(I950 = "Rob", "Robusta", I950 = "Exc", "Excelsa", I950 = "Ara", "Arabica", I950 = "Lib", "Liberica")</f>
        <v>Excelsa</v>
      </c>
      <c r="O950" t="str">
        <f t="shared" si="29"/>
        <v>Dark</v>
      </c>
      <c r="P950" t="str">
        <f>_xlfn.XLOOKUP(orders[[#This Row],[Customer ID]],customers!$A$1:$A$1001,customers!$I$1:$I$1001)</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 = 0, "", 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28"/>
        <v>109.93999999999998</v>
      </c>
      <c r="N951" t="str" cm="1">
        <f t="array" ref="N951">_xlfn.IFS(I951 = "Rob", "Robusta", I951 = "Exc", "Excelsa", I951 = "Ara", "Arabica", I951 = "Lib", "Liberica")</f>
        <v>Robusta</v>
      </c>
      <c r="O951" t="str">
        <f t="shared" si="29"/>
        <v>Light</v>
      </c>
      <c r="P951" t="str">
        <f>_xlfn.XLOOKUP(orders[[#This Row],[Customer ID]],customers!$A$1:$A$1001,customers!$I$1:$I$1001)</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 = 0, "", 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28"/>
        <v>14.339999999999998</v>
      </c>
      <c r="N952" t="str" cm="1">
        <f t="array" ref="N952">_xlfn.IFS(I952 = "Rob", "Robusta", I952 = "Exc", "Excelsa", I952 = "Ara", "Arabica", I952 = "Lib", "Liberica")</f>
        <v>Robusta</v>
      </c>
      <c r="O952" t="str">
        <f t="shared" si="29"/>
        <v>Light</v>
      </c>
      <c r="P952" t="str">
        <f>_xlfn.XLOOKUP(orders[[#This Row],[Customer ID]],customers!$A$1:$A$1001,customers!$I$1:$I$1001)</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 = 0, "", 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28"/>
        <v>21.509999999999998</v>
      </c>
      <c r="N953" t="str" cm="1">
        <f t="array" ref="N953">_xlfn.IFS(I953 = "Rob", "Robusta", I953 = "Exc", "Excelsa", I953 = "Ara", "Arabica", I953 = "Lib", "Liberica")</f>
        <v>Robusta</v>
      </c>
      <c r="O953" t="str">
        <f t="shared" si="29"/>
        <v>Light</v>
      </c>
      <c r="P953" t="str">
        <f>_xlfn.XLOOKUP(orders[[#This Row],[Customer ID]],customers!$A$1:$A$1001,customers!$I$1:$I$1001)</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 = 0, "", 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28"/>
        <v>22.5</v>
      </c>
      <c r="N954" t="str" cm="1">
        <f t="array" ref="N954">_xlfn.IFS(I954 = "Rob", "Robusta", I954 = "Exc", "Excelsa", I954 = "Ara", "Arabica", I954 = "Lib", "Liberica")</f>
        <v>Arabica</v>
      </c>
      <c r="O954" t="str">
        <f t="shared" si="29"/>
        <v>Medium</v>
      </c>
      <c r="P954" t="str">
        <f>_xlfn.XLOOKUP(orders[[#This Row],[Customer ID]],customers!$A$1:$A$1001,customers!$I$1:$I$1001)</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 = 0, "", 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28"/>
        <v>3.8849999999999998</v>
      </c>
      <c r="N955" t="str" cm="1">
        <f t="array" ref="N955">_xlfn.IFS(I955 = "Rob", "Robusta", I955 = "Exc", "Excelsa", I955 = "Ara", "Arabica", I955 = "Lib", "Liberica")</f>
        <v>Arabica</v>
      </c>
      <c r="O955" t="str">
        <f t="shared" si="29"/>
        <v>Light</v>
      </c>
      <c r="P955" t="str">
        <f>_xlfn.XLOOKUP(orders[[#This Row],[Customer ID]],customers!$A$1:$A$1001,customers!$I$1:$I$1001)</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 = 0, "", 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28"/>
        <v>27.945</v>
      </c>
      <c r="N956" t="str" cm="1">
        <f t="array" ref="N956">_xlfn.IFS(I956 = "Rob", "Robusta", I956 = "Exc", "Excelsa", I956 = "Ara", "Arabica", I956 = "Lib", "Liberica")</f>
        <v>Excelsa</v>
      </c>
      <c r="O956" t="str">
        <f t="shared" si="29"/>
        <v>Dark</v>
      </c>
      <c r="P956" t="str">
        <f>_xlfn.XLOOKUP(orders[[#This Row],[Customer ID]],customers!$A$1:$A$1001,customers!$I$1:$I$1001)</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 = 0, "", 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28"/>
        <v>170.77499999999998</v>
      </c>
      <c r="N957" t="str" cm="1">
        <f t="array" ref="N957">_xlfn.IFS(I957 = "Rob", "Robusta", I957 = "Exc", "Excelsa", I957 = "Ara", "Arabica", I957 = "Lib", "Liberica")</f>
        <v>Excelsa</v>
      </c>
      <c r="O957" t="str">
        <f t="shared" si="29"/>
        <v>Light</v>
      </c>
      <c r="P957" t="str">
        <f>_xlfn.XLOOKUP(orders[[#This Row],[Customer ID]],customers!$A$1:$A$1001,customers!$I$1:$I$1001)</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 = 0, "", 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28"/>
        <v>54.969999999999992</v>
      </c>
      <c r="N958" t="str" cm="1">
        <f t="array" ref="N958">_xlfn.IFS(I958 = "Rob", "Robusta", I958 = "Exc", "Excelsa", I958 = "Ara", "Arabica", I958 = "Lib", "Liberica")</f>
        <v>Robusta</v>
      </c>
      <c r="O958" t="str">
        <f t="shared" si="29"/>
        <v>Light</v>
      </c>
      <c r="P958" t="str">
        <f>_xlfn.XLOOKUP(orders[[#This Row],[Customer ID]],customers!$A$1:$A$1001,customers!$I$1:$I$1001)</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 = 0, "", 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28"/>
        <v>14.85</v>
      </c>
      <c r="N959" t="str" cm="1">
        <f t="array" ref="N959">_xlfn.IFS(I959 = "Rob", "Robusta", I959 = "Exc", "Excelsa", I959 = "Ara", "Arabica", I959 = "Lib", "Liberica")</f>
        <v>Excelsa</v>
      </c>
      <c r="O959" t="str">
        <f t="shared" si="29"/>
        <v>Light</v>
      </c>
      <c r="P959" t="str">
        <f>_xlfn.XLOOKUP(orders[[#This Row],[Customer ID]],customers!$A$1:$A$1001,customers!$I$1:$I$1001)</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 = 0, "", 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28"/>
        <v>7.77</v>
      </c>
      <c r="N960" t="str" cm="1">
        <f t="array" ref="N960">_xlfn.IFS(I960 = "Rob", "Robusta", I960 = "Exc", "Excelsa", I960 = "Ara", "Arabica", I960 = "Lib", "Liberica")</f>
        <v>Arabica</v>
      </c>
      <c r="O960" t="str">
        <f t="shared" si="29"/>
        <v>Light</v>
      </c>
      <c r="P960" t="str">
        <f>_xlfn.XLOOKUP(orders[[#This Row],[Customer ID]],customers!$A$1:$A$1001,customers!$I$1:$I$1001)</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 = 0, "", 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28"/>
        <v>23.774999999999999</v>
      </c>
      <c r="N961" t="str" cm="1">
        <f t="array" ref="N961">_xlfn.IFS(I961 = "Rob", "Robusta", I961 = "Exc", "Excelsa", I961 = "Ara", "Arabica", I961 = "Lib", "Liberica")</f>
        <v>Liberica</v>
      </c>
      <c r="O961" t="str">
        <f t="shared" si="29"/>
        <v>Light</v>
      </c>
      <c r="P961" t="str">
        <f>_xlfn.XLOOKUP(orders[[#This Row],[Customer ID]],customers!$A$1:$A$1001,customers!$I$1:$I$1001)</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 = 0, "", 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28"/>
        <v>79.25</v>
      </c>
      <c r="N962" t="str" cm="1">
        <f t="array" ref="N962">_xlfn.IFS(I962 = "Rob", "Robusta", I962 = "Exc", "Excelsa", I962 = "Ara", "Arabica", I962 = "Lib", "Liberica")</f>
        <v>Liberica</v>
      </c>
      <c r="O962" t="str">
        <f t="shared" si="29"/>
        <v>Light</v>
      </c>
      <c r="P962" t="str">
        <f>_xlfn.XLOOKUP(orders[[#This Row],[Customer ID]],customers!$A$1:$A$1001,customers!$I$1:$I$1001)</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 = 0, "", 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30">SUM(L963*E963)</f>
        <v>45.769999999999996</v>
      </c>
      <c r="N963" t="str" cm="1">
        <f t="array" ref="N963">_xlfn.IFS(I963 = "Rob", "Robusta", I963 = "Exc", "Excelsa", I963 = "Ara", "Arabica", I963 = "Lib", "Liberica")</f>
        <v>Arabica</v>
      </c>
      <c r="O963" t="str">
        <f t="shared" ref="O963:O1001" si="31">IF(J963 = "M", "Medium", IF(J963= "L", "Light",IF( J963 = "D", "Dark")))</f>
        <v>Dark</v>
      </c>
      <c r="P963" t="str">
        <f>_xlfn.XLOOKUP(orders[[#This Row],[Customer ID]],customers!$A$1:$A$1001,customers!$I$1:$I$1001)</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 = 0, "", 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30"/>
        <v>8.9499999999999993</v>
      </c>
      <c r="N964" t="str" cm="1">
        <f t="array" ref="N964">_xlfn.IFS(I964 = "Rob", "Robusta", I964 = "Exc", "Excelsa", I964 = "Ara", "Arabica", I964 = "Lib", "Liberica")</f>
        <v>Robusta</v>
      </c>
      <c r="O964" t="str">
        <f t="shared" si="31"/>
        <v>Dark</v>
      </c>
      <c r="P964" t="str">
        <f>_xlfn.XLOOKUP(orders[[#This Row],[Customer ID]],customers!$A$1:$A$1001,customers!$I$1:$I$1001)</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 = 0, "", 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30"/>
        <v>23.88</v>
      </c>
      <c r="N965" t="str" cm="1">
        <f t="array" ref="N965">_xlfn.IFS(I965 = "Rob", "Robusta", I965 = "Exc", "Excelsa", I965 = "Ara", "Arabica", I965 = "Lib", "Liberica")</f>
        <v>Robusta</v>
      </c>
      <c r="O965" t="str">
        <f t="shared" si="31"/>
        <v>Medium</v>
      </c>
      <c r="P965" t="str">
        <f>_xlfn.XLOOKUP(orders[[#This Row],[Customer ID]],customers!$A$1:$A$1001,customers!$I$1:$I$1001)</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 = 0, "", 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30"/>
        <v>22.274999999999999</v>
      </c>
      <c r="N966" t="str" cm="1">
        <f t="array" ref="N966">_xlfn.IFS(I966 = "Rob", "Robusta", I966 = "Exc", "Excelsa", I966 = "Ara", "Arabica", I966 = "Lib", "Liberica")</f>
        <v>Excelsa</v>
      </c>
      <c r="O966" t="str">
        <f t="shared" si="31"/>
        <v>Light</v>
      </c>
      <c r="P966" t="str">
        <f>_xlfn.XLOOKUP(orders[[#This Row],[Customer ID]],customers!$A$1:$A$1001,customers!$I$1:$I$1001)</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 = 0, "", 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30"/>
        <v>29.849999999999998</v>
      </c>
      <c r="N967" t="str" cm="1">
        <f t="array" ref="N967">_xlfn.IFS(I967 = "Rob", "Robusta", I967 = "Exc", "Excelsa", I967 = "Ara", "Arabica", I967 = "Lib", "Liberica")</f>
        <v>Robusta</v>
      </c>
      <c r="O967" t="str">
        <f t="shared" si="31"/>
        <v>Medium</v>
      </c>
      <c r="P967" t="str">
        <f>_xlfn.XLOOKUP(orders[[#This Row],[Customer ID]],customers!$A$1:$A$1001,customers!$I$1:$I$1001)</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 = 0, "", 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30"/>
        <v>53.46</v>
      </c>
      <c r="N968" t="str" cm="1">
        <f t="array" ref="N968">_xlfn.IFS(I968 = "Rob", "Robusta", I968 = "Exc", "Excelsa", I968 = "Ara", "Arabica", I968 = "Lib", "Liberica")</f>
        <v>Excelsa</v>
      </c>
      <c r="O968" t="str">
        <f t="shared" si="31"/>
        <v>Light</v>
      </c>
      <c r="P968" t="str">
        <f>_xlfn.XLOOKUP(orders[[#This Row],[Customer ID]],customers!$A$1:$A$1001,customers!$I$1:$I$1001)</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 = 0, "", 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30"/>
        <v>2.6849999999999996</v>
      </c>
      <c r="N969" t="str" cm="1">
        <f t="array" ref="N969">_xlfn.IFS(I969 = "Rob", "Robusta", I969 = "Exc", "Excelsa", I969 = "Ara", "Arabica", I969 = "Lib", "Liberica")</f>
        <v>Robusta</v>
      </c>
      <c r="O969" t="str">
        <f t="shared" si="31"/>
        <v>Dark</v>
      </c>
      <c r="P969" t="str">
        <f>_xlfn.XLOOKUP(orders[[#This Row],[Customer ID]],customers!$A$1:$A$1001,customers!$I$1:$I$1001)</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 = 0, "", 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30"/>
        <v>5.97</v>
      </c>
      <c r="N970" t="str" cm="1">
        <f t="array" ref="N970">_xlfn.IFS(I970 = "Rob", "Robusta", I970 = "Exc", "Excelsa", I970 = "Ara", "Arabica", I970 = "Lib", "Liberica")</f>
        <v>Robusta</v>
      </c>
      <c r="O970" t="str">
        <f t="shared" si="31"/>
        <v>Medium</v>
      </c>
      <c r="P970" t="str">
        <f>_xlfn.XLOOKUP(orders[[#This Row],[Customer ID]],customers!$A$1:$A$1001,customers!$I$1:$I$1001)</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 = 0, "", 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30"/>
        <v>12.95</v>
      </c>
      <c r="N971" t="str" cm="1">
        <f t="array" ref="N971">_xlfn.IFS(I971 = "Rob", "Robusta", I971 = "Exc", "Excelsa", I971 = "Ara", "Arabica", I971 = "Lib", "Liberica")</f>
        <v>Liberica</v>
      </c>
      <c r="O971" t="str">
        <f t="shared" si="31"/>
        <v>Dark</v>
      </c>
      <c r="P971" t="str">
        <f>_xlfn.XLOOKUP(orders[[#This Row],[Customer ID]],customers!$A$1:$A$1001,customers!$I$1:$I$1001)</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 = 0, "", 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30"/>
        <v>8.25</v>
      </c>
      <c r="N972" t="str" cm="1">
        <f t="array" ref="N972">_xlfn.IFS(I972 = "Rob", "Robusta", I972 = "Exc", "Excelsa", I972 = "Ara", "Arabica", I972 = "Lib", "Liberica")</f>
        <v>Excelsa</v>
      </c>
      <c r="O972" t="str">
        <f t="shared" si="31"/>
        <v>Medium</v>
      </c>
      <c r="P972" t="str">
        <f>_xlfn.XLOOKUP(orders[[#This Row],[Customer ID]],customers!$A$1:$A$1001,customers!$I$1:$I$1001)</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 = 0, "", 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30"/>
        <v>148.92499999999998</v>
      </c>
      <c r="N973" t="str" cm="1">
        <f t="array" ref="N973">_xlfn.IFS(I973 = "Rob", "Robusta", I973 = "Exc", "Excelsa", I973 = "Ara", "Arabica", I973 = "Lib", "Liberica")</f>
        <v>Arabica</v>
      </c>
      <c r="O973" t="str">
        <f t="shared" si="31"/>
        <v>Light</v>
      </c>
      <c r="P973" t="str">
        <f>_xlfn.XLOOKUP(orders[[#This Row],[Customer ID]],customers!$A$1:$A$1001,customers!$I$1:$I$1001)</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 = 0, "", 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30"/>
        <v>89.35499999999999</v>
      </c>
      <c r="N974" t="str" cm="1">
        <f t="array" ref="N974">_xlfn.IFS(I974 = "Rob", "Robusta", I974 = "Exc", "Excelsa", I974 = "Ara", "Arabica", I974 = "Lib", "Liberica")</f>
        <v>Arabica</v>
      </c>
      <c r="O974" t="str">
        <f t="shared" si="31"/>
        <v>Light</v>
      </c>
      <c r="P974" t="str">
        <f>_xlfn.XLOOKUP(orders[[#This Row],[Customer ID]],customers!$A$1:$A$1001,customers!$I$1:$I$1001)</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 = 0, "", 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30"/>
        <v>87.300000000000011</v>
      </c>
      <c r="N975" t="str" cm="1">
        <f t="array" ref="N975">_xlfn.IFS(I975 = "Rob", "Robusta", I975 = "Exc", "Excelsa", I975 = "Ara", "Arabica", I975 = "Lib", "Liberica")</f>
        <v>Liberica</v>
      </c>
      <c r="O975" t="str">
        <f t="shared" si="31"/>
        <v>Medium</v>
      </c>
      <c r="P975" t="str">
        <f>_xlfn.XLOOKUP(orders[[#This Row],[Customer ID]],customers!$A$1:$A$1001,customers!$I$1:$I$1001)</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 = 0, "", 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30"/>
        <v>5.3699999999999992</v>
      </c>
      <c r="N976" t="str" cm="1">
        <f t="array" ref="N976">_xlfn.IFS(I976 = "Rob", "Robusta", I976 = "Exc", "Excelsa", I976 = "Ara", "Arabica", I976 = "Lib", "Liberica")</f>
        <v>Robusta</v>
      </c>
      <c r="O976" t="str">
        <f t="shared" si="31"/>
        <v>Dark</v>
      </c>
      <c r="P976" t="str">
        <f>_xlfn.XLOOKUP(orders[[#This Row],[Customer ID]],customers!$A$1:$A$1001,customers!$I$1:$I$1001)</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 = 0, "", 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30"/>
        <v>8.9550000000000001</v>
      </c>
      <c r="N977" t="str" cm="1">
        <f t="array" ref="N977">_xlfn.IFS(I977 = "Rob", "Robusta", I977 = "Exc", "Excelsa", I977 = "Ara", "Arabica", I977 = "Lib", "Liberica")</f>
        <v>Arabica</v>
      </c>
      <c r="O977" t="str">
        <f t="shared" si="31"/>
        <v>Dark</v>
      </c>
      <c r="P977" t="str">
        <f>_xlfn.XLOOKUP(orders[[#This Row],[Customer ID]],customers!$A$1:$A$1001,customers!$I$1:$I$1001)</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 = 0, "", 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30"/>
        <v>137.42499999999998</v>
      </c>
      <c r="N978" t="str" cm="1">
        <f t="array" ref="N978">_xlfn.IFS(I978 = "Rob", "Robusta", I978 = "Exc", "Excelsa", I978 = "Ara", "Arabica", I978 = "Lib", "Liberica")</f>
        <v>Robusta</v>
      </c>
      <c r="O978" t="str">
        <f t="shared" si="31"/>
        <v>Light</v>
      </c>
      <c r="P978" t="str">
        <f>_xlfn.XLOOKUP(orders[[#This Row],[Customer ID]],customers!$A$1:$A$1001,customers!$I$1:$I$1001)</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 = 0, "", 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30"/>
        <v>59.75</v>
      </c>
      <c r="N979" t="str" cm="1">
        <f t="array" ref="N979">_xlfn.IFS(I979 = "Rob", "Robusta", I979 = "Exc", "Excelsa", I979 = "Ara", "Arabica", I979 = "Lib", "Liberica")</f>
        <v>Robusta</v>
      </c>
      <c r="O979" t="str">
        <f t="shared" si="31"/>
        <v>Light</v>
      </c>
      <c r="P979" t="str">
        <f>_xlfn.XLOOKUP(orders[[#This Row],[Customer ID]],customers!$A$1:$A$1001,customers!$I$1:$I$1001)</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 = 0, "", 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30"/>
        <v>23.31</v>
      </c>
      <c r="N980" t="str" cm="1">
        <f t="array" ref="N980">_xlfn.IFS(I980 = "Rob", "Robusta", I980 = "Exc", "Excelsa", I980 = "Ara", "Arabica", I980 = "Lib", "Liberica")</f>
        <v>Arabica</v>
      </c>
      <c r="O980" t="str">
        <f t="shared" si="31"/>
        <v>Light</v>
      </c>
      <c r="P980" t="str">
        <f>_xlfn.XLOOKUP(orders[[#This Row],[Customer ID]],customers!$A$1:$A$1001,customers!$I$1:$I$1001)</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 = 0, "", 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30"/>
        <v>10.739999999999998</v>
      </c>
      <c r="N981" t="str" cm="1">
        <f t="array" ref="N981">_xlfn.IFS(I981 = "Rob", "Robusta", I981 = "Exc", "Excelsa", I981 = "Ara", "Arabica", I981 = "Lib", "Liberica")</f>
        <v>Robusta</v>
      </c>
      <c r="O981" t="str">
        <f t="shared" si="31"/>
        <v>Dark</v>
      </c>
      <c r="P981" t="str">
        <f>_xlfn.XLOOKUP(orders[[#This Row],[Customer ID]],customers!$A$1:$A$1001,customers!$I$1:$I$1001)</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 = 0, "", 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30"/>
        <v>167.67000000000002</v>
      </c>
      <c r="N982" t="str" cm="1">
        <f t="array" ref="N982">_xlfn.IFS(I982 = "Rob", "Robusta", I982 = "Exc", "Excelsa", I982 = "Ara", "Arabica", I982 = "Lib", "Liberica")</f>
        <v>Excelsa</v>
      </c>
      <c r="O982" t="str">
        <f t="shared" si="31"/>
        <v>Dark</v>
      </c>
      <c r="P982" t="str">
        <f>_xlfn.XLOOKUP(orders[[#This Row],[Customer ID]],customers!$A$1:$A$1001,customers!$I$1:$I$1001)</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 = 0, "", 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30"/>
        <v>21.87</v>
      </c>
      <c r="N983" t="str" cm="1">
        <f t="array" ref="N983">_xlfn.IFS(I983 = "Rob", "Robusta", I983 = "Exc", "Excelsa", I983 = "Ara", "Arabica", I983 = "Lib", "Liberica")</f>
        <v>Excelsa</v>
      </c>
      <c r="O983" t="str">
        <f t="shared" si="31"/>
        <v>Dark</v>
      </c>
      <c r="P983" t="str">
        <f>_xlfn.XLOOKUP(orders[[#This Row],[Customer ID]],customers!$A$1:$A$1001,customers!$I$1:$I$1001)</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 = 0, "", 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30"/>
        <v>23.9</v>
      </c>
      <c r="N984" t="str" cm="1">
        <f t="array" ref="N984">_xlfn.IFS(I984 = "Rob", "Robusta", I984 = "Exc", "Excelsa", I984 = "Ara", "Arabica", I984 = "Lib", "Liberica")</f>
        <v>Robusta</v>
      </c>
      <c r="O984" t="str">
        <f t="shared" si="31"/>
        <v>Light</v>
      </c>
      <c r="P984" t="str">
        <f>_xlfn.XLOOKUP(orders[[#This Row],[Customer ID]],customers!$A$1:$A$1001,customers!$I$1:$I$1001)</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 = 0, "", 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30"/>
        <v>6.75</v>
      </c>
      <c r="N985" t="str" cm="1">
        <f t="array" ref="N985">_xlfn.IFS(I985 = "Rob", "Robusta", I985 = "Exc", "Excelsa", I985 = "Ara", "Arabica", I985 = "Lib", "Liberica")</f>
        <v>Arabica</v>
      </c>
      <c r="O985" t="str">
        <f t="shared" si="31"/>
        <v>Medium</v>
      </c>
      <c r="P985" t="str">
        <f>_xlfn.XLOOKUP(orders[[#This Row],[Customer ID]],customers!$A$1:$A$1001,customers!$I$1:$I$1001)</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 = 0, "", 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30"/>
        <v>31.624999999999996</v>
      </c>
      <c r="N986" t="str" cm="1">
        <f t="array" ref="N986">_xlfn.IFS(I986 = "Rob", "Robusta", I986 = "Exc", "Excelsa", I986 = "Ara", "Arabica", I986 = "Lib", "Liberica")</f>
        <v>Excelsa</v>
      </c>
      <c r="O986" t="str">
        <f t="shared" si="31"/>
        <v>Medium</v>
      </c>
      <c r="P986" t="str">
        <f>_xlfn.XLOOKUP(orders[[#This Row],[Customer ID]],customers!$A$1:$A$1001,customers!$I$1:$I$1001)</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 = 0, "", 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30"/>
        <v>47.8</v>
      </c>
      <c r="N987" t="str" cm="1">
        <f t="array" ref="N987">_xlfn.IFS(I987 = "Rob", "Robusta", I987 = "Exc", "Excelsa", I987 = "Ara", "Arabica", I987 = "Lib", "Liberica")</f>
        <v>Robusta</v>
      </c>
      <c r="O987" t="str">
        <f t="shared" si="31"/>
        <v>Light</v>
      </c>
      <c r="P987" t="str">
        <f>_xlfn.XLOOKUP(orders[[#This Row],[Customer ID]],customers!$A$1:$A$1001,customers!$I$1:$I$1001)</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 = 0, "", 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30"/>
        <v>33.464999999999996</v>
      </c>
      <c r="N988" t="str" cm="1">
        <f t="array" ref="N988">_xlfn.IFS(I988 = "Rob", "Robusta", I988 = "Exc", "Excelsa", I988 = "Ara", "Arabica", I988 = "Lib", "Liberica")</f>
        <v>Liberica</v>
      </c>
      <c r="O988" t="str">
        <f t="shared" si="31"/>
        <v>Medium</v>
      </c>
      <c r="P988" t="str">
        <f>_xlfn.XLOOKUP(orders[[#This Row],[Customer ID]],customers!$A$1:$A$1001,customers!$I$1:$I$1001)</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 = 0, "", 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30"/>
        <v>29.849999999999998</v>
      </c>
      <c r="N989" t="str" cm="1">
        <f t="array" ref="N989">_xlfn.IFS(I989 = "Rob", "Robusta", I989 = "Exc", "Excelsa", I989 = "Ara", "Arabica", I989 = "Lib", "Liberica")</f>
        <v>Arabica</v>
      </c>
      <c r="O989" t="str">
        <f t="shared" si="31"/>
        <v>Dark</v>
      </c>
      <c r="P989" t="str">
        <f>_xlfn.XLOOKUP(orders[[#This Row],[Customer ID]],customers!$A$1:$A$1001,customers!$I$1:$I$1001)</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 = 0, "", 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30"/>
        <v>29.849999999999998</v>
      </c>
      <c r="N990" t="str" cm="1">
        <f t="array" ref="N990">_xlfn.IFS(I990 = "Rob", "Robusta", I990 = "Exc", "Excelsa", I990 = "Ara", "Arabica", I990 = "Lib", "Liberica")</f>
        <v>Robusta</v>
      </c>
      <c r="O990" t="str">
        <f t="shared" si="31"/>
        <v>Medium</v>
      </c>
      <c r="P990" t="str">
        <f>_xlfn.XLOOKUP(orders[[#This Row],[Customer ID]],customers!$A$1:$A$1001,customers!$I$1:$I$1001)</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 = 0, "", 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30"/>
        <v>155.24999999999997</v>
      </c>
      <c r="N991" t="str" cm="1">
        <f t="array" ref="N991">_xlfn.IFS(I991 = "Rob", "Robusta", I991 = "Exc", "Excelsa", I991 = "Ara", "Arabica", I991 = "Lib", "Liberica")</f>
        <v>Arabica</v>
      </c>
      <c r="O991" t="str">
        <f t="shared" si="31"/>
        <v>Medium</v>
      </c>
      <c r="P991" t="str">
        <f>_xlfn.XLOOKUP(orders[[#This Row],[Customer ID]],customers!$A$1:$A$1001,customers!$I$1:$I$1001)</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 = 0, "", 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30"/>
        <v>18.225000000000001</v>
      </c>
      <c r="N992" t="str" cm="1">
        <f t="array" ref="N992">_xlfn.IFS(I992 = "Rob", "Robusta", I992 = "Exc", "Excelsa", I992 = "Ara", "Arabica", I992 = "Lib", "Liberica")</f>
        <v>Excelsa</v>
      </c>
      <c r="O992" t="str">
        <f t="shared" si="31"/>
        <v>Dark</v>
      </c>
      <c r="P992" t="str">
        <f>_xlfn.XLOOKUP(orders[[#This Row],[Customer ID]],customers!$A$1:$A$1001,customers!$I$1:$I$1001)</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 = 0, "", 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30"/>
        <v>15.54</v>
      </c>
      <c r="N993" t="str" cm="1">
        <f t="array" ref="N993">_xlfn.IFS(I993 = "Rob", "Robusta", I993 = "Exc", "Excelsa", I993 = "Ara", "Arabica", I993 = "Lib", "Liberica")</f>
        <v>Liberica</v>
      </c>
      <c r="O993" t="str">
        <f t="shared" si="31"/>
        <v>Dark</v>
      </c>
      <c r="P993" t="str">
        <f>_xlfn.XLOOKUP(orders[[#This Row],[Customer ID]],customers!$A$1:$A$1001,customers!$I$1:$I$1001)</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 = 0, "", 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30"/>
        <v>109.36499999999999</v>
      </c>
      <c r="N994" t="str" cm="1">
        <f t="array" ref="N994">_xlfn.IFS(I994 = "Rob", "Robusta", I994 = "Exc", "Excelsa", I994 = "Ara", "Arabica", I994 = "Lib", "Liberica")</f>
        <v>Liberica</v>
      </c>
      <c r="O994" t="str">
        <f t="shared" si="31"/>
        <v>Light</v>
      </c>
      <c r="P994" t="str">
        <f>_xlfn.XLOOKUP(orders[[#This Row],[Customer ID]],customers!$A$1:$A$1001,customers!$I$1:$I$1001)</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 = 0, "", 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30"/>
        <v>77.699999999999989</v>
      </c>
      <c r="N995" t="str" cm="1">
        <f t="array" ref="N995">_xlfn.IFS(I995 = "Rob", "Robusta", I995 = "Exc", "Excelsa", I995 = "Ara", "Arabica", I995 = "Lib", "Liberica")</f>
        <v>Arabica</v>
      </c>
      <c r="O995" t="str">
        <f t="shared" si="31"/>
        <v>Light</v>
      </c>
      <c r="P995" t="str">
        <f>_xlfn.XLOOKUP(orders[[#This Row],[Customer ID]],customers!$A$1:$A$1001,customers!$I$1:$I$1001)</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 = 0, "", 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30"/>
        <v>8.9550000000000001</v>
      </c>
      <c r="N996" t="str" cm="1">
        <f t="array" ref="N996">_xlfn.IFS(I996 = "Rob", "Robusta", I996 = "Exc", "Excelsa", I996 = "Ara", "Arabica", I996 = "Lib", "Liberica")</f>
        <v>Arabica</v>
      </c>
      <c r="O996" t="str">
        <f t="shared" si="31"/>
        <v>Dark</v>
      </c>
      <c r="P996" t="str">
        <f>_xlfn.XLOOKUP(orders[[#This Row],[Customer ID]],customers!$A$1:$A$1001,customers!$I$1:$I$1001)</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 = 0, "", 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30"/>
        <v>27.484999999999996</v>
      </c>
      <c r="N997" t="str" cm="1">
        <f t="array" ref="N997">_xlfn.IFS(I997 = "Rob", "Robusta", I997 = "Exc", "Excelsa", I997 = "Ara", "Arabica", I997 = "Lib", "Liberica")</f>
        <v>Robusta</v>
      </c>
      <c r="O997" t="str">
        <f t="shared" si="31"/>
        <v>Light</v>
      </c>
      <c r="P997" t="str">
        <f>_xlfn.XLOOKUP(orders[[#This Row],[Customer ID]],customers!$A$1:$A$1001,customers!$I$1:$I$1001)</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 = 0, "", 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30"/>
        <v>29.849999999999998</v>
      </c>
      <c r="N998" t="str" cm="1">
        <f t="array" ref="N998">_xlfn.IFS(I998 = "Rob", "Robusta", I998 = "Exc", "Excelsa", I998 = "Ara", "Arabica", I998 = "Lib", "Liberica")</f>
        <v>Robusta</v>
      </c>
      <c r="O998" t="str">
        <f t="shared" si="31"/>
        <v>Medium</v>
      </c>
      <c r="P998" t="str">
        <f>_xlfn.XLOOKUP(orders[[#This Row],[Customer ID]],customers!$A$1:$A$1001,customers!$I$1:$I$1001)</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 = 0, "", 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30"/>
        <v>27</v>
      </c>
      <c r="N999" t="str" cm="1">
        <f t="array" ref="N999">_xlfn.IFS(I999 = "Rob", "Robusta", I999 = "Exc", "Excelsa", I999 = "Ara", "Arabica", I999 = "Lib", "Liberica")</f>
        <v>Arabica</v>
      </c>
      <c r="O999" t="str">
        <f t="shared" si="31"/>
        <v>Medium</v>
      </c>
      <c r="P999" t="str">
        <f>_xlfn.XLOOKUP(orders[[#This Row],[Customer ID]],customers!$A$1:$A$1001,customers!$I$1:$I$1001)</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 = 0, "", 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30"/>
        <v>9.9499999999999993</v>
      </c>
      <c r="N1000" t="str" cm="1">
        <f t="array" ref="N1000">_xlfn.IFS(I1000 = "Rob", "Robusta", I1000 = "Exc", "Excelsa", I1000 = "Ara", "Arabica", I1000 = "Lib", "Liberica")</f>
        <v>Arabica</v>
      </c>
      <c r="O1000" t="str">
        <f t="shared" si="31"/>
        <v>Dark</v>
      </c>
      <c r="P1000" t="str">
        <f>_xlfn.XLOOKUP(orders[[#This Row],[Customer ID]],customers!$A$1:$A$1001,customers!$I$1:$I$1001)</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 = 0, "", 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30"/>
        <v>12.375</v>
      </c>
      <c r="N1001" t="str" cm="1">
        <f t="array" ref="N1001">_xlfn.IFS(I1001 = "Rob", "Robusta", I1001 = "Exc", "Excelsa", I1001 = "Ara", "Arabica", I1001 = "Lib", "Liberica")</f>
        <v>Excelsa</v>
      </c>
      <c r="O1001" t="str">
        <f t="shared" si="31"/>
        <v>Medium</v>
      </c>
      <c r="P1001" t="str">
        <f>_xlfn.XLOOKUP(orders[[#This Row],[Customer ID]],customers!$A$1:$A$1001,customers!$I$1:$I$1001)</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76" zoomScale="80" zoomScaleNormal="80"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total_sales</vt:lpstr>
      <vt:lpstr>countrybarchart</vt:lpstr>
      <vt:lpstr>customerbarchart</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rabea01mahmoud@gmail.com</cp:lastModifiedBy>
  <cp:revision/>
  <dcterms:created xsi:type="dcterms:W3CDTF">2022-11-26T09:51:45Z</dcterms:created>
  <dcterms:modified xsi:type="dcterms:W3CDTF">2026-02-25T16:56:55Z</dcterms:modified>
  <cp:category/>
  <cp:contentStatus/>
</cp:coreProperties>
</file>